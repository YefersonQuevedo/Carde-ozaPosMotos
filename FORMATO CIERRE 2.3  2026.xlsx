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cepcion\.shortcut-targets-by-id\1qRkCf8YyxJbNFwEMnYPzBsi22qjWv_Xx\Recepción\CIERRES DIARIOS\Formato\"/>
    </mc:Choice>
  </mc:AlternateContent>
  <xr:revisionPtr revIDLastSave="0" documentId="13_ncr:1_{2C7B271B-F838-460A-9E26-5AADC9DCA5A6}" xr6:coauthVersionLast="40" xr6:coauthVersionMax="47" xr10:uidLastSave="{00000000-0000-0000-0000-000000000000}"/>
  <bookViews>
    <workbookView xWindow="-105" yWindow="0" windowWidth="26010" windowHeight="20985" activeTab="1" xr2:uid="{00000000-000D-0000-FFFF-FFFF00000000}"/>
  </bookViews>
  <sheets>
    <sheet name="Reporte Pagos Convenios" sheetId="10" r:id="rId1"/>
    <sheet name="Planilla Cierre Diario Formulad" sheetId="13" r:id="rId2"/>
    <sheet name="Convenios" sheetId="12" r:id="rId3"/>
  </sheets>
  <externalReferences>
    <externalReference r:id="rId4"/>
    <externalReference r:id="rId5"/>
  </externalReferences>
  <definedNames>
    <definedName name="_xlcn.WorksheetConnection_RELACIONCONVENIOS.xlsxConvenios1" hidden="1">[1]!Convenios[#Data]</definedName>
    <definedName name="_xlcn.WorksheetConnection_RELACIONCONVENIOS.xlsxConvenios11" hidden="1">[1]!Convenios[#Data]</definedName>
    <definedName name="_xlnm.Print_Area" localSheetId="1">'Planilla Cierre Diario Formulad'!$A$2:$X$44</definedName>
    <definedName name="Convenios1" localSheetId="2" hidden="1">Convenios!$A$1:$O$147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venios1" name="Convenios1" connection="WorksheetConnection_RELACION CONVENIOS.xlsx!Convenios1"/>
          <x15:modelTable id="Convenios" name="Convenios" connection="WorksheetConnection_RELACION CONVENIOS.xlsx!Convenios"/>
        </x15:modelTables>
      </x15:dataModel>
    </ext>
  </extLst>
</workbook>
</file>

<file path=xl/calcChain.xml><?xml version="1.0" encoding="utf-8"?>
<calcChain xmlns="http://schemas.openxmlformats.org/spreadsheetml/2006/main">
  <c r="N4" i="13" l="1"/>
  <c r="O4" i="13"/>
  <c r="P4" i="13"/>
  <c r="Q4" i="13"/>
  <c r="R4" i="13"/>
  <c r="S4" i="13"/>
  <c r="T4" i="13"/>
  <c r="U4" i="13"/>
  <c r="V4" i="13"/>
  <c r="W4" i="13"/>
  <c r="N3" i="13" l="1"/>
  <c r="O3" i="13" s="1"/>
  <c r="P3" i="13"/>
  <c r="Q3" i="13" s="1"/>
  <c r="R3" i="13"/>
  <c r="S3" i="13"/>
  <c r="T3" i="13"/>
  <c r="U3" i="13"/>
  <c r="V3" i="13"/>
  <c r="N5" i="13"/>
  <c r="O5" i="13" s="1"/>
  <c r="P5" i="13"/>
  <c r="Q5" i="13" s="1"/>
  <c r="R5" i="13"/>
  <c r="S5" i="13"/>
  <c r="T5" i="13"/>
  <c r="U5" i="13"/>
  <c r="V5" i="13"/>
  <c r="N6" i="13"/>
  <c r="O6" i="13" s="1"/>
  <c r="P6" i="13"/>
  <c r="Q6" i="13" s="1"/>
  <c r="R6" i="13"/>
  <c r="S6" i="13"/>
  <c r="T6" i="13"/>
  <c r="U6" i="13"/>
  <c r="V6" i="13"/>
  <c r="N7" i="13"/>
  <c r="O7" i="13" s="1"/>
  <c r="P7" i="13"/>
  <c r="Q7" i="13" s="1"/>
  <c r="R7" i="13"/>
  <c r="S7" i="13"/>
  <c r="T7" i="13"/>
  <c r="U7" i="13"/>
  <c r="V7" i="13"/>
  <c r="N8" i="13"/>
  <c r="O8" i="13" s="1"/>
  <c r="P8" i="13"/>
  <c r="Q8" i="13" s="1"/>
  <c r="R8" i="13"/>
  <c r="S8" i="13"/>
  <c r="T8" i="13"/>
  <c r="U8" i="13"/>
  <c r="V8" i="13"/>
  <c r="N9" i="13"/>
  <c r="O9" i="13" s="1"/>
  <c r="P9" i="13"/>
  <c r="Q9" i="13"/>
  <c r="R9" i="13"/>
  <c r="S9" i="13"/>
  <c r="T9" i="13"/>
  <c r="U9" i="13"/>
  <c r="V9" i="13"/>
  <c r="N10" i="13"/>
  <c r="O10" i="13" s="1"/>
  <c r="P10" i="13"/>
  <c r="Q10" i="13" s="1"/>
  <c r="R10" i="13"/>
  <c r="S10" i="13"/>
  <c r="T10" i="13"/>
  <c r="U10" i="13"/>
  <c r="V10" i="13"/>
  <c r="N11" i="13"/>
  <c r="O11" i="13" s="1"/>
  <c r="P11" i="13"/>
  <c r="Q11" i="13"/>
  <c r="R11" i="13"/>
  <c r="S11" i="13"/>
  <c r="T11" i="13"/>
  <c r="U11" i="13"/>
  <c r="V11" i="13"/>
  <c r="N12" i="13"/>
  <c r="O12" i="13" s="1"/>
  <c r="P12" i="13"/>
  <c r="Q12" i="13" s="1"/>
  <c r="R12" i="13"/>
  <c r="S12" i="13"/>
  <c r="T12" i="13"/>
  <c r="U12" i="13"/>
  <c r="V12" i="13"/>
  <c r="N13" i="13"/>
  <c r="O13" i="13" s="1"/>
  <c r="P13" i="13"/>
  <c r="Q13" i="13"/>
  <c r="R13" i="13"/>
  <c r="S13" i="13"/>
  <c r="T13" i="13"/>
  <c r="U13" i="13"/>
  <c r="V13" i="13"/>
  <c r="W12" i="13" l="1"/>
  <c r="W6" i="13"/>
  <c r="W3" i="13"/>
  <c r="W8" i="13"/>
  <c r="W10" i="13"/>
  <c r="W13" i="13"/>
  <c r="W11" i="13"/>
  <c r="W9" i="13"/>
  <c r="W7" i="13"/>
  <c r="W5" i="13"/>
  <c r="C58" i="13"/>
  <c r="I23" i="13"/>
  <c r="J23" i="13"/>
  <c r="K23" i="13"/>
  <c r="L23" i="13"/>
  <c r="A1" i="10" l="1"/>
  <c r="N19" i="13" l="1"/>
  <c r="O19" i="13" s="1"/>
  <c r="P19" i="13"/>
  <c r="Q19" i="13" s="1"/>
  <c r="R19" i="13"/>
  <c r="S19" i="13"/>
  <c r="T19" i="13"/>
  <c r="U19" i="13"/>
  <c r="V19" i="13"/>
  <c r="W19" i="13" l="1"/>
  <c r="N16" i="13" l="1"/>
  <c r="O16" i="13" s="1"/>
  <c r="P16" i="13"/>
  <c r="Q16" i="13" s="1"/>
  <c r="R16" i="13"/>
  <c r="S16" i="13"/>
  <c r="T16" i="13"/>
  <c r="U16" i="13"/>
  <c r="V16" i="13"/>
  <c r="N17" i="13"/>
  <c r="O17" i="13" s="1"/>
  <c r="P17" i="13"/>
  <c r="Q17" i="13" s="1"/>
  <c r="R17" i="13"/>
  <c r="S17" i="13"/>
  <c r="T17" i="13"/>
  <c r="U17" i="13"/>
  <c r="V17" i="13"/>
  <c r="N18" i="13"/>
  <c r="O18" i="13" s="1"/>
  <c r="P18" i="13"/>
  <c r="Q18" i="13" s="1"/>
  <c r="R18" i="13"/>
  <c r="S18" i="13"/>
  <c r="T18" i="13"/>
  <c r="U18" i="13"/>
  <c r="V18" i="13"/>
  <c r="W16" i="13" l="1"/>
  <c r="W17" i="13"/>
  <c r="W18" i="13"/>
  <c r="F31" i="13" l="1"/>
  <c r="V22" i="13" l="1"/>
  <c r="U22" i="13"/>
  <c r="T22" i="13"/>
  <c r="S22" i="13"/>
  <c r="R22" i="13"/>
  <c r="P22" i="13"/>
  <c r="Q22" i="13" s="1"/>
  <c r="N22" i="13"/>
  <c r="O22" i="13" s="1"/>
  <c r="V21" i="13"/>
  <c r="U21" i="13"/>
  <c r="T21" i="13"/>
  <c r="S21" i="13"/>
  <c r="R21" i="13"/>
  <c r="P21" i="13"/>
  <c r="Q21" i="13" s="1"/>
  <c r="N21" i="13"/>
  <c r="O21" i="13" s="1"/>
  <c r="V15" i="13"/>
  <c r="U15" i="13"/>
  <c r="T15" i="13"/>
  <c r="S15" i="13"/>
  <c r="R15" i="13"/>
  <c r="P15" i="13"/>
  <c r="Q15" i="13" s="1"/>
  <c r="N15" i="13"/>
  <c r="O15" i="13" s="1"/>
  <c r="V14" i="13"/>
  <c r="U14" i="13"/>
  <c r="T14" i="13"/>
  <c r="S14" i="13"/>
  <c r="R14" i="13"/>
  <c r="P14" i="13"/>
  <c r="Q14" i="13" s="1"/>
  <c r="N14" i="13"/>
  <c r="O14" i="13" s="1"/>
  <c r="V20" i="13"/>
  <c r="U20" i="13"/>
  <c r="T20" i="13"/>
  <c r="S20" i="13"/>
  <c r="R20" i="13"/>
  <c r="P20" i="13"/>
  <c r="Q20" i="13" s="1"/>
  <c r="N20" i="13"/>
  <c r="W15" i="13" l="1"/>
  <c r="W21" i="13"/>
  <c r="W14" i="13"/>
  <c r="W22" i="13"/>
  <c r="O20" i="13"/>
  <c r="W20" i="13" s="1"/>
  <c r="C52" i="13" l="1"/>
  <c r="C51" i="13"/>
  <c r="G43" i="13"/>
  <c r="F43" i="13"/>
  <c r="L27" i="13" s="1"/>
  <c r="C39" i="13"/>
  <c r="C34" i="13"/>
  <c r="C33" i="13"/>
  <c r="C32" i="13"/>
  <c r="C31" i="13"/>
  <c r="C30" i="13"/>
  <c r="C27" i="13"/>
  <c r="C26" i="13"/>
  <c r="M23" i="13"/>
  <c r="C42" i="13"/>
  <c r="C41" i="13"/>
  <c r="H23" i="13"/>
  <c r="G23" i="13"/>
  <c r="B23" i="13"/>
  <c r="C43" i="13" l="1"/>
  <c r="C29" i="13"/>
  <c r="C40" i="13"/>
  <c r="C50" i="13" s="1"/>
  <c r="U23" i="13"/>
  <c r="V23" i="13"/>
  <c r="S23" i="13"/>
  <c r="R23" i="13"/>
  <c r="T23" i="13"/>
  <c r="C28" i="13"/>
  <c r="Q23" i="13"/>
  <c r="N23" i="13"/>
  <c r="P23" i="13"/>
  <c r="C53" i="13"/>
  <c r="J26" i="13" l="1"/>
  <c r="L26" i="13" s="1"/>
  <c r="L28" i="13" s="1"/>
  <c r="C35" i="13"/>
  <c r="J27" i="13" s="1"/>
  <c r="C54" i="13"/>
  <c r="C59" i="13" s="1"/>
  <c r="O23" i="13"/>
  <c r="W23" i="13"/>
  <c r="J28" i="13" l="1"/>
  <c r="C36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41023-4645-441C-B885-1E105541ED52}" keepAlive="1" name="Consulta - Convenios" description="Conexión a la consulta 'Convenios' en el libro." type="5" refreshedVersion="8" background="1" saveData="1">
    <dbPr connection="Provider=Microsoft.Mashup.OleDb.1;Data Source=$Workbook$;Location=Convenios;Extended Properties=&quot;&quot;" command="SELECT * FROM [Convenios]"/>
  </connection>
  <connection id="2" xr16:uid="{00000000-0015-0000-FFFF-FFFF00000000}" keepAlive="1" name="ModelConnection_Convenios1" description="Modelo de datos" type="5" refreshedVersion="6" minRefreshableVersion="5" saveData="1">
    <dbPr connection="Data Model Connection" command="Convenios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1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2000000}" name="WorksheetConnection_RELACION CONVENIOS.xlsx!Convenios" type="102" refreshedVersion="6" minRefreshableVersion="5">
    <extLst>
      <ext xmlns:x15="http://schemas.microsoft.com/office/spreadsheetml/2010/11/main" uri="{DE250136-89BD-433C-8126-D09CA5730AF9}">
        <x15:connection id="Convenios" autoDelete="1">
          <x15:rangePr sourceName="_xlcn.WorksheetConnection_RELACIONCONVENIOS.xlsxConvenios1"/>
        </x15:connection>
      </ext>
    </extLst>
  </connection>
  <connection id="5" xr16:uid="{00000000-0015-0000-FFFF-FFFF03000000}" name="WorksheetConnection_RELACION CONVENIOS.xlsx!Convenios1" type="102" refreshedVersion="6" minRefreshableVersion="5">
    <extLst>
      <ext xmlns:x15="http://schemas.microsoft.com/office/spreadsheetml/2010/11/main" uri="{DE250136-89BD-433C-8126-D09CA5730AF9}">
        <x15:connection id="Convenios1" autoDelete="1">
          <x15:rangePr sourceName="_xlcn.WorksheetConnection_RELACIONCONVENIOS.xlsxConvenios11"/>
        </x15:connection>
      </ext>
    </extLst>
  </connection>
</connections>
</file>

<file path=xl/sharedStrings.xml><?xml version="1.0" encoding="utf-8"?>
<sst xmlns="http://schemas.openxmlformats.org/spreadsheetml/2006/main" count="729" uniqueCount="487">
  <si>
    <t>ITEM</t>
  </si>
  <si>
    <t>FACT</t>
  </si>
  <si>
    <t>TIPO DOC</t>
  </si>
  <si>
    <t>NUM. DOC</t>
  </si>
  <si>
    <t>TELEFONOS</t>
  </si>
  <si>
    <t xml:space="preserve">PLACA </t>
  </si>
  <si>
    <t xml:space="preserve"> N°PIN ADQUIRIDO</t>
  </si>
  <si>
    <t>GASTOS</t>
  </si>
  <si>
    <t xml:space="preserve">OBSERVACIONES </t>
  </si>
  <si>
    <t>EFECTIVO</t>
  </si>
  <si>
    <t>TOTAL</t>
  </si>
  <si>
    <t>RECAUDO</t>
  </si>
  <si>
    <t>ANSV</t>
  </si>
  <si>
    <t>CC</t>
  </si>
  <si>
    <t>RTM FACTURADAS</t>
  </si>
  <si>
    <t>RTM REALIZADAS</t>
  </si>
  <si>
    <t>RTM PENDIENTES</t>
  </si>
  <si>
    <t>VISA</t>
  </si>
  <si>
    <t>MASTERCARD</t>
  </si>
  <si>
    <t>Total</t>
  </si>
  <si>
    <t>VALOR</t>
  </si>
  <si>
    <t>QR SUPERGIROS</t>
  </si>
  <si>
    <t>QR EMPRESARIAL</t>
  </si>
  <si>
    <t>TOTAL EGRESOS</t>
  </si>
  <si>
    <t>RESPONSABLE</t>
  </si>
  <si>
    <t>COSTOS TOTAL</t>
  </si>
  <si>
    <t>PLACA</t>
  </si>
  <si>
    <t>DESCUENTOS FIDELIZACIÓN</t>
  </si>
  <si>
    <t>FIDELIZADOS</t>
  </si>
  <si>
    <t>DESCUENTOS REFERIDOS</t>
  </si>
  <si>
    <t>RESUMEN EGRESOS Y CREDITO</t>
  </si>
  <si>
    <t>ALIADOS DE INV. GORA SAS</t>
  </si>
  <si>
    <t>RECIBE</t>
  </si>
  <si>
    <t>SEBASTIAN CARDEÑOZA</t>
  </si>
  <si>
    <t>METODO DE PAGO</t>
  </si>
  <si>
    <t>DATAFONO SG</t>
  </si>
  <si>
    <t>QR SG</t>
  </si>
  <si>
    <t>QR CM</t>
  </si>
  <si>
    <t>DATAFONO CM</t>
  </si>
  <si>
    <t>TRANSFERENCIA DIRECTA</t>
  </si>
  <si>
    <t>COSTE TRANSACCION</t>
  </si>
  <si>
    <t>IVA RECAUDO</t>
  </si>
  <si>
    <t>SICOV SERV HOM</t>
  </si>
  <si>
    <t>IVA SICOV</t>
  </si>
  <si>
    <t>MODELO</t>
  </si>
  <si>
    <t xml:space="preserve">DEDUCCIONES CONVENIOS </t>
  </si>
  <si>
    <t>INGRESOS</t>
  </si>
  <si>
    <t>ENTREGAS</t>
  </si>
  <si>
    <t>JASPER</t>
  </si>
  <si>
    <t>IVA de FACT</t>
  </si>
  <si>
    <t>Subtotal SG</t>
  </si>
  <si>
    <t>Subtotal CM</t>
  </si>
  <si>
    <t>OSCAR RICO SILICONAS</t>
  </si>
  <si>
    <t>OSCAR JAVIER RODRIGUEZ</t>
  </si>
  <si>
    <t>MARLON RICARDO  VILLANUEVA</t>
  </si>
  <si>
    <t>HERBY PEDRAZA</t>
  </si>
  <si>
    <t>YESID MONROY</t>
  </si>
  <si>
    <t>EMILIANO LAGUNA CARDENAS</t>
  </si>
  <si>
    <t>YIYO MARTIN CARRASCO ROJAS</t>
  </si>
  <si>
    <t>CRISTIAN CAMILO BEDOYA</t>
  </si>
  <si>
    <t>RICARDO VILLANUEVA</t>
  </si>
  <si>
    <t>DOUGLAS GONZALEZ</t>
  </si>
  <si>
    <t>JORGE EDWN DUACUARA ROA  SANTANDER</t>
  </si>
  <si>
    <t>LUIS EDUARDO TARQUINO</t>
  </si>
  <si>
    <t>MOTO REAL</t>
  </si>
  <si>
    <t>JOSE FRANCISCO CARRASCO</t>
  </si>
  <si>
    <t>JHON ALEXANDER SANCHEZ</t>
  </si>
  <si>
    <t>DANIEL OSORIO</t>
  </si>
  <si>
    <t>JOHN CASTAÑEDA</t>
  </si>
  <si>
    <t>EDGAR VILLANUEVA</t>
  </si>
  <si>
    <t>VICENTE OCHOA</t>
  </si>
  <si>
    <t>JHONY GALEANO</t>
  </si>
  <si>
    <t>VALENTINA QUINTERO</t>
  </si>
  <si>
    <t>JORGE FONSECA</t>
  </si>
  <si>
    <t>HERNANDO VASQUEZ</t>
  </si>
  <si>
    <t>NATALY GALINDO</t>
  </si>
  <si>
    <t>ALEJANDRO LEAL</t>
  </si>
  <si>
    <t>DIEGO PATIÑO OCHOA</t>
  </si>
  <si>
    <t>CRISTIAN HERNANDO CARTAGENA</t>
  </si>
  <si>
    <t>WILLIAM ORLANDO AVILA</t>
  </si>
  <si>
    <t>JOSE HELVER MURCIA</t>
  </si>
  <si>
    <t>REFERIDOS</t>
  </si>
  <si>
    <t>TIPO DE PAGO</t>
  </si>
  <si>
    <t>RESUMEN</t>
  </si>
  <si>
    <t>TIPO DE CLIENTE</t>
  </si>
  <si>
    <t>FUPA</t>
  </si>
  <si>
    <t>SUSY PABON</t>
  </si>
  <si>
    <t>ALVARO TELLO</t>
  </si>
  <si>
    <t>YAN CARLOS CERTIMOTOS</t>
  </si>
  <si>
    <t>INES CERTIMOTOS</t>
  </si>
  <si>
    <t>LUIS CERTIMOTOS</t>
  </si>
  <si>
    <t>PACHON CERTIMOTOS</t>
  </si>
  <si>
    <t>NANCY CERTIMOTOS</t>
  </si>
  <si>
    <t>A PROVISION</t>
  </si>
  <si>
    <t>FUPAS INICIO DIA</t>
  </si>
  <si>
    <t>FUPAS FINAL DIA</t>
  </si>
  <si>
    <t>Sustratos</t>
  </si>
  <si>
    <t>ADDI</t>
  </si>
  <si>
    <t>ORLANDO VALENCIA</t>
  </si>
  <si>
    <t>JAVIER ANGULO</t>
  </si>
  <si>
    <t>CARLOS MORA</t>
  </si>
  <si>
    <t>JHON GAITAN</t>
  </si>
  <si>
    <t>MARCOS DIAZ</t>
  </si>
  <si>
    <t>SONIA  DRIVECAR</t>
  </si>
  <si>
    <t>ALDEMAR CASTRO</t>
  </si>
  <si>
    <t>EDINSON SABOGAL</t>
  </si>
  <si>
    <t>GERSON DRIVECAR</t>
  </si>
  <si>
    <t>MARIMONDA AGUA DE DIOS</t>
  </si>
  <si>
    <t>ANDRES MUÑOZ VALERO</t>
  </si>
  <si>
    <t>RAFAEL DIAZ NIETO</t>
  </si>
  <si>
    <t>DANIEL GOMEZ</t>
  </si>
  <si>
    <t>BRANDON SABOGAL</t>
  </si>
  <si>
    <t>DILAN SABOGAL</t>
  </si>
  <si>
    <t>Etiquetas de fila</t>
  </si>
  <si>
    <t>(en blanco)</t>
  </si>
  <si>
    <t>Total general</t>
  </si>
  <si>
    <t>Dar "Click derecho" a la tabla y escoger la opción de "Actualizar".</t>
  </si>
  <si>
    <t>CONVENIOS PENDIENTES POR PAGAR</t>
  </si>
  <si>
    <t>ALBA MARITZA TORRES PARRA</t>
  </si>
  <si>
    <t>HONDA</t>
  </si>
  <si>
    <t>ALBENIS GARCIA</t>
  </si>
  <si>
    <t>302 2303817</t>
  </si>
  <si>
    <t>3008541394</t>
  </si>
  <si>
    <t>ALEX  DRIVECAR</t>
  </si>
  <si>
    <t>3163495592</t>
  </si>
  <si>
    <t>3212512545</t>
  </si>
  <si>
    <t>ANDERSON - DONCEL</t>
  </si>
  <si>
    <t>3145223461</t>
  </si>
  <si>
    <t>ANDRES MAURICIO SAENZ</t>
  </si>
  <si>
    <t>3125385897</t>
  </si>
  <si>
    <t>JJ MOTOS</t>
  </si>
  <si>
    <t>ANDRES MUÑOZ   LAVADERO</t>
  </si>
  <si>
    <t>3104823627</t>
  </si>
  <si>
    <t>3152112641</t>
  </si>
  <si>
    <t>GIRARDOT</t>
  </si>
  <si>
    <t>LAVADERO</t>
  </si>
  <si>
    <t>313 3629095</t>
  </si>
  <si>
    <t>TRAMITADOR</t>
  </si>
  <si>
    <t>ANGEL CARRERA</t>
  </si>
  <si>
    <t>3176089815</t>
  </si>
  <si>
    <t>ANTONIO BONIFACIO</t>
  </si>
  <si>
    <t>3166037748</t>
  </si>
  <si>
    <t>NEQUI</t>
  </si>
  <si>
    <t>ANTONIO JOSE  DURINALLY</t>
  </si>
  <si>
    <t>3193359887</t>
  </si>
  <si>
    <t>TALLER FURINALLY</t>
  </si>
  <si>
    <t>310 7833800</t>
  </si>
  <si>
    <t>CESAR BURGOS CUELLAR</t>
  </si>
  <si>
    <t>3114924476</t>
  </si>
  <si>
    <t>MAQUINA</t>
  </si>
  <si>
    <t>CESAR MEJIA</t>
  </si>
  <si>
    <t xml:space="preserve"> 305 8537547</t>
  </si>
  <si>
    <t>3124624563</t>
  </si>
  <si>
    <t>3044468192</t>
  </si>
  <si>
    <t>DIR MZ L CASA 14 CORAZON DE CUNDINAMARCA</t>
  </si>
  <si>
    <t>DANIEL CANDIA - MECHUDO -</t>
  </si>
  <si>
    <t>3105511781</t>
  </si>
  <si>
    <t>3028418666</t>
  </si>
  <si>
    <t>3224179024</t>
  </si>
  <si>
    <t>MZ 06 CS 07 POSOAZUL</t>
  </si>
  <si>
    <t>MECANICO</t>
  </si>
  <si>
    <t>DIEGO CASTAÑEDA</t>
  </si>
  <si>
    <t>3193102079</t>
  </si>
  <si>
    <t>3213011456</t>
  </si>
  <si>
    <t>KR 7- 21A  48 BRR SAN ANTONIO</t>
  </si>
  <si>
    <t>3114751212</t>
  </si>
  <si>
    <t>MZ B CA 12 DIAMANTE POPULAR</t>
  </si>
  <si>
    <t>3118890717</t>
  </si>
  <si>
    <t>3115527549</t>
  </si>
  <si>
    <t>3123795183</t>
  </si>
  <si>
    <t>ELIZABETH LEAL</t>
  </si>
  <si>
    <t>3203175974</t>
  </si>
  <si>
    <t>3223075041</t>
  </si>
  <si>
    <t>CRA 7A 17-09</t>
  </si>
  <si>
    <t>3219839529</t>
  </si>
  <si>
    <t>FARFAN (TRANSITO)</t>
  </si>
  <si>
    <t>313 4533887</t>
  </si>
  <si>
    <t>GELVER MURILLO</t>
  </si>
  <si>
    <t>APULO</t>
  </si>
  <si>
    <t>GONZALO MEJIA URIBE</t>
  </si>
  <si>
    <t>3015544090</t>
  </si>
  <si>
    <t>3208352519</t>
  </si>
  <si>
    <t>3203916812</t>
  </si>
  <si>
    <t>CONVENIO</t>
  </si>
  <si>
    <t>JESUS CARDENAS (MONO)</t>
  </si>
  <si>
    <t>3127917995</t>
  </si>
  <si>
    <t>Mz B CASA 8 parques bocas</t>
  </si>
  <si>
    <t>3223528352</t>
  </si>
  <si>
    <t>AV EL PROGRESO, VIOTA</t>
  </si>
  <si>
    <t>300 3172538</t>
  </si>
  <si>
    <t>JHON USECHE FLANDES</t>
  </si>
  <si>
    <t>3118575198</t>
  </si>
  <si>
    <t>3002476365</t>
  </si>
  <si>
    <t>GVS10 LTDA</t>
  </si>
  <si>
    <t>JHONATHAN- WILLIAM  JOAN OCAMPO</t>
  </si>
  <si>
    <t>3016753959</t>
  </si>
  <si>
    <t>3196550903</t>
  </si>
  <si>
    <t>TOCAIMA</t>
  </si>
  <si>
    <t>JOAQUIN DUSSAN - (MONCHI)</t>
  </si>
  <si>
    <t>3118370321</t>
  </si>
  <si>
    <t>3203012234</t>
  </si>
  <si>
    <t>MZ 09 CS 19 1RO DE ENERO</t>
  </si>
  <si>
    <t>MOTO TOKIO</t>
  </si>
  <si>
    <t>JONATHAN VALENCIA</t>
  </si>
  <si>
    <t>3132579234</t>
  </si>
  <si>
    <t>SE LLAMA Y SE HACE INVITACION</t>
  </si>
  <si>
    <t>JORGE ALEXANDER SUAREZ</t>
  </si>
  <si>
    <t>CL 10B 19-19 CENTENARIO</t>
  </si>
  <si>
    <t xml:space="preserve"> CASTRO MECANICO</t>
  </si>
  <si>
    <t>3138346213</t>
  </si>
  <si>
    <t>3214661387</t>
  </si>
  <si>
    <t>3123049231</t>
  </si>
  <si>
    <t>CRA 06 83-21</t>
  </si>
  <si>
    <t>KIKO MOTOS</t>
  </si>
  <si>
    <t>3133367443</t>
  </si>
  <si>
    <t>FLANDES</t>
  </si>
  <si>
    <t>JOSE LUIS PAVA (CHATO)</t>
  </si>
  <si>
    <t>3132160445</t>
  </si>
  <si>
    <t>JOSE VALERO PASTELES</t>
  </si>
  <si>
    <t>3008205383</t>
  </si>
  <si>
    <t>JOSE VILLARAGA   - POCHOLOS</t>
  </si>
  <si>
    <t>3162311183</t>
  </si>
  <si>
    <t>POCHOLOS</t>
  </si>
  <si>
    <t>3123800956</t>
  </si>
  <si>
    <t>JUAN PABLO GUTIERREZ</t>
  </si>
  <si>
    <t>3229480936</t>
  </si>
  <si>
    <t>JUAN RAMIREZ</t>
  </si>
  <si>
    <t>3186186100</t>
  </si>
  <si>
    <t>SERVIHONDA QUINTERO</t>
  </si>
  <si>
    <t>LEIDY SUAREZ</t>
  </si>
  <si>
    <t>3134308758</t>
  </si>
  <si>
    <t>CERTIMOTOS</t>
  </si>
  <si>
    <t>EMPLEADA AUTORIZADA</t>
  </si>
  <si>
    <t>LUIS ALIRIO ANGEL</t>
  </si>
  <si>
    <t>3017952061</t>
  </si>
  <si>
    <t>LUIS DAVID</t>
  </si>
  <si>
    <t>3204447589</t>
  </si>
  <si>
    <t>TALLER DE MOTOS</t>
  </si>
  <si>
    <t>VENDE MOTOS4 MECANICO 10 X1</t>
  </si>
  <si>
    <t>3124271249</t>
  </si>
  <si>
    <t>3017579468</t>
  </si>
  <si>
    <t>3203643492</t>
  </si>
  <si>
    <t>3014724516</t>
  </si>
  <si>
    <t>MARVIL MOTOS</t>
  </si>
  <si>
    <t>MIGUEL ALVAREZ</t>
  </si>
  <si>
    <t>3052584902</t>
  </si>
  <si>
    <t>DIR MZ M TORRE 6 APTO 104 CAFAM DEL SOL</t>
  </si>
  <si>
    <t>MOTO REAL    -    ALONSO     CASTAÑEDA</t>
  </si>
  <si>
    <t>3007770070</t>
  </si>
  <si>
    <t>NANCY MILLAN</t>
  </si>
  <si>
    <t>3024139558</t>
  </si>
  <si>
    <t>OLGA TAPIAS</t>
  </si>
  <si>
    <t>3144555550</t>
  </si>
  <si>
    <t>3107846432</t>
  </si>
  <si>
    <t>OSCAR CASTAÑEDA</t>
  </si>
  <si>
    <t>3106692454</t>
  </si>
  <si>
    <t>KR.18  7 65    BUENOS AIRES</t>
  </si>
  <si>
    <t>TECNIMOTOS</t>
  </si>
  <si>
    <t>3053893908</t>
  </si>
  <si>
    <t>BOLA MZ 14 CS 14 ESMERALDA</t>
  </si>
  <si>
    <t>3124194285</t>
  </si>
  <si>
    <t>ANTIGUO</t>
  </si>
  <si>
    <t>3228372915</t>
  </si>
  <si>
    <t>RAMIRO LOPEZ</t>
  </si>
  <si>
    <t>3124232276</t>
  </si>
  <si>
    <t>3133715310</t>
  </si>
  <si>
    <t>CALAO MOTOS</t>
  </si>
  <si>
    <t>SANDRA BURGOS</t>
  </si>
  <si>
    <t>32133023177</t>
  </si>
  <si>
    <t>SUCEL RICO</t>
  </si>
  <si>
    <t>3204953717</t>
  </si>
  <si>
    <t>3045908159</t>
  </si>
  <si>
    <t>TERESA RODRIGUEZ</t>
  </si>
  <si>
    <t>3176811916</t>
  </si>
  <si>
    <t>MZ. N CASA 10 ESMERALDA 3</t>
  </si>
  <si>
    <t>3123861463</t>
  </si>
  <si>
    <t>VANESSA ARANZA</t>
  </si>
  <si>
    <t>3107739954</t>
  </si>
  <si>
    <t>VIVIANA OVIEDO</t>
  </si>
  <si>
    <t>RICAURTE</t>
  </si>
  <si>
    <t>3014324627</t>
  </si>
  <si>
    <t>3222832066</t>
  </si>
  <si>
    <t>MULTIMOTOS</t>
  </si>
  <si>
    <t>SENA</t>
  </si>
  <si>
    <t>3228719384</t>
  </si>
  <si>
    <t>YUBER TAPIERO- MECANICO</t>
  </si>
  <si>
    <t>3138983872</t>
  </si>
  <si>
    <t>3126365524</t>
  </si>
  <si>
    <t>C</t>
  </si>
  <si>
    <t>Nombre completo del aliado</t>
  </si>
  <si>
    <t>Número de Contacto</t>
  </si>
  <si>
    <t>Número de contacto Alternativo</t>
  </si>
  <si>
    <t>Número de Documento</t>
  </si>
  <si>
    <t>Metodo de pago</t>
  </si>
  <si>
    <t>Número de cuenta</t>
  </si>
  <si>
    <t>Tipo de documento del titular</t>
  </si>
  <si>
    <t>Documento del Titular de la cuenta</t>
  </si>
  <si>
    <t>Observacion</t>
  </si>
  <si>
    <t>Notas</t>
  </si>
  <si>
    <t>Dirección</t>
  </si>
  <si>
    <t>Empresa</t>
  </si>
  <si>
    <t>Leonardo Cardeñoza</t>
  </si>
  <si>
    <t>3023752035</t>
  </si>
  <si>
    <t>Inscrito</t>
  </si>
  <si>
    <t>3148647608</t>
  </si>
  <si>
    <t>3016079795</t>
  </si>
  <si>
    <t>FERNANDO CARDOZO</t>
  </si>
  <si>
    <t>LUNA BONILLA</t>
  </si>
  <si>
    <t>3102533439</t>
  </si>
  <si>
    <t>DRIVERCAR</t>
  </si>
  <si>
    <t>ANGELA ORDOÑEZ</t>
  </si>
  <si>
    <t>3123268873</t>
  </si>
  <si>
    <t>3219713059</t>
  </si>
  <si>
    <t>3003172538</t>
  </si>
  <si>
    <t>310 8042270</t>
  </si>
  <si>
    <t>USUARIO</t>
  </si>
  <si>
    <t>301 4632455</t>
  </si>
  <si>
    <t>BANCOLOMBIA</t>
  </si>
  <si>
    <t>659 - 676568 - 73</t>
  </si>
  <si>
    <t>3108729474</t>
  </si>
  <si>
    <t>AVENIDA BAVARIA</t>
  </si>
  <si>
    <t>TALLER 489</t>
  </si>
  <si>
    <t>EDUARDO LEAL</t>
  </si>
  <si>
    <t>JAIRO ANDRES SARMIENTO</t>
  </si>
  <si>
    <t>ANDRES PARRA</t>
  </si>
  <si>
    <t xml:space="preserve"> 322 8890812</t>
  </si>
  <si>
    <t>3132307585</t>
  </si>
  <si>
    <t>EDWIN TAPIAS (BETO)</t>
  </si>
  <si>
    <t>3202933591</t>
  </si>
  <si>
    <t>3203308033</t>
  </si>
  <si>
    <t>WILLIAN CASTAÑEDA</t>
  </si>
  <si>
    <t>3118364694</t>
  </si>
  <si>
    <t>DESCUENTOS</t>
  </si>
  <si>
    <t>RICARDO MONO</t>
  </si>
  <si>
    <t>313 2030713</t>
  </si>
  <si>
    <t>MECANICO LO  TRAE JJ MOTOS</t>
  </si>
  <si>
    <t>NORMA MONTALLANTAS</t>
  </si>
  <si>
    <t>3203728405</t>
  </si>
  <si>
    <t>311 5520817</t>
  </si>
  <si>
    <t>PLANILLA CAJA MENOR</t>
  </si>
  <si>
    <t>CAJA MENOR</t>
  </si>
  <si>
    <t>DIFERENCIA JASPER</t>
  </si>
  <si>
    <t>KATERINE PEDROZA GODOY</t>
  </si>
  <si>
    <t>le llego moto el dia  inconveniente internet -  la llevo revicar - revisara wasap - un poco enferma</t>
  </si>
  <si>
    <t>Le llego mensaje - y le encanta el servicio</t>
  </si>
  <si>
    <t>Celular no activado  - Mensaje Whatsap</t>
  </si>
  <si>
    <t>Celular fuera de servicio  -  Mensaje Whatsap</t>
  </si>
  <si>
    <t>No contesta</t>
  </si>
  <si>
    <t>contento con el servicio - revisara elWhatsap</t>
  </si>
  <si>
    <t>Contento con el servicio  -</t>
  </si>
  <si>
    <t>Inconforme con Pago  comision de carro - revicar se aclara  error de comunicación</t>
  </si>
  <si>
    <t>GIRARDOT  - frente a la dian y frente alcanos</t>
  </si>
  <si>
    <t>PARQUEADERO</t>
  </si>
  <si>
    <t>Agradece     informacion  - incentivara dcto en lavadero para quien realicen la RTM</t>
  </si>
  <si>
    <t>No contesta  - No tiene Whatsap</t>
  </si>
  <si>
    <t>Informacion brindada</t>
  </si>
  <si>
    <t>FR</t>
  </si>
  <si>
    <t>Mensaje  -  devuelve llamada inconformidad  error de comunicación  rechazo  confundido  certificado</t>
  </si>
  <si>
    <t>CESAR QUINTERO DRIVECAR</t>
  </si>
  <si>
    <t>3208302319</t>
  </si>
  <si>
    <t>Mensaje</t>
  </si>
  <si>
    <t>No contesta  - Sin Whatsap</t>
  </si>
  <si>
    <t>Mensaje Wasap</t>
  </si>
  <si>
    <t>Mensaje Whatsap</t>
  </si>
  <si>
    <t>Brindada informacion</t>
  </si>
  <si>
    <t>wasap  Informacion brindada</t>
  </si>
  <si>
    <t>sin numero</t>
  </si>
  <si>
    <t>Gonzalo</t>
  </si>
  <si>
    <t>Convenio ya murio  celular fuera de servicio</t>
  </si>
  <si>
    <t>informacion brindada  -  se activa</t>
  </si>
  <si>
    <t>Ines CDA</t>
  </si>
  <si>
    <t>MensajeWhatsap</t>
  </si>
  <si>
    <t>Buzon y no tiene Whatsap</t>
  </si>
  <si>
    <t>JHONATAN BARRAGAN - GVS</t>
  </si>
  <si>
    <t>fuera de sevicio  - whatsap</t>
  </si>
  <si>
    <t>fuera de sevicio  - sin  whatsap</t>
  </si>
  <si>
    <t>DIAGONAL  A TAPI LUJOS</t>
  </si>
  <si>
    <t>Se brinda informacion -  desea venir a dialogar con el Jefe Sebastian</t>
  </si>
  <si>
    <t>Numero errado</t>
  </si>
  <si>
    <t>KR 7 20A-87  FRENTE AL TOCAREMA</t>
  </si>
  <si>
    <t>lleva las motos al CDA curva  de la septima</t>
  </si>
  <si>
    <t>se brinda informacion - y se envia foto del CDA</t>
  </si>
  <si>
    <t>Informacion Brindad  telefonicamente</t>
  </si>
  <si>
    <t>kr 7 20a-47  local 1  Brr  Granada</t>
  </si>
  <si>
    <t>taller</t>
  </si>
  <si>
    <t>cel. Apagado no tiene  whatsap</t>
  </si>
  <si>
    <t>incapacitado - se  brinda informacion y se envia mensaje   whatsap</t>
  </si>
  <si>
    <t>Buzon se envia mensaje</t>
  </si>
  <si>
    <t>CARLOS MARTINEZ</t>
  </si>
  <si>
    <t>convenio nuevo  -  Katherin cia brinda informacion</t>
  </si>
  <si>
    <t>Estaba viajando  se brinda informacion   ( Retoma no sabia el valor de comision )</t>
  </si>
  <si>
    <t>JUAN DAVID  BETANCOUR</t>
  </si>
  <si>
    <t>INDEPENDIENTE</t>
  </si>
  <si>
    <t>Se brinda informacion - las esta llevando a revicar</t>
  </si>
  <si>
    <t>Se brinda informacion</t>
  </si>
  <si>
    <t>Buzon - no tiene whasap</t>
  </si>
  <si>
    <t>Keidy Siomara Garcia Gonzalez</t>
  </si>
  <si>
    <t>3134026719</t>
  </si>
  <si>
    <t>CONTROL AUTOS</t>
  </si>
  <si>
    <t>Correo de voz -sin whasap</t>
  </si>
  <si>
    <t>Se deja mensaje    whasap</t>
  </si>
  <si>
    <t>No contesta  -  se envia mensaje por whasap</t>
  </si>
  <si>
    <t>322 8890812</t>
  </si>
  <si>
    <t>PAOLA CASTILLO ESCUELA</t>
  </si>
  <si>
    <t>3214010049</t>
  </si>
  <si>
    <t>SANDRA BERMUDEZ</t>
  </si>
  <si>
    <t>3133575167</t>
  </si>
  <si>
    <t>Luis Ernesto Salcedo</t>
  </si>
  <si>
    <t>3212694263</t>
  </si>
  <si>
    <t>LINA CARANZA</t>
  </si>
  <si>
    <t>3206439547</t>
  </si>
  <si>
    <t>CENTRO GIRARDOT</t>
  </si>
  <si>
    <t xml:space="preserve"> 304 5908159</t>
  </si>
  <si>
    <t>ALBADAN TRANSITO</t>
  </si>
  <si>
    <t>3112672211</t>
  </si>
  <si>
    <t>CRISTIAN APONTE</t>
  </si>
  <si>
    <t>300 5097168</t>
  </si>
  <si>
    <t>ING LEIDY KATERIN BARRETO</t>
  </si>
  <si>
    <t>312 3277196</t>
  </si>
  <si>
    <t>65918476720</t>
  </si>
  <si>
    <t>CARLOS TOVAR MONCHIS</t>
  </si>
  <si>
    <t>321 9213314</t>
  </si>
  <si>
    <t>SOFIA MONTAÑEZ</t>
  </si>
  <si>
    <t>3025593199</t>
  </si>
  <si>
    <t>JOSE LUIS</t>
  </si>
  <si>
    <t>3243170342</t>
  </si>
  <si>
    <t>ALDER RAMIREZ</t>
  </si>
  <si>
    <t>3015920148</t>
  </si>
  <si>
    <t>LEONARDO VILLAMIZAR</t>
  </si>
  <si>
    <t>3214107271</t>
  </si>
  <si>
    <t>NAPOLEON</t>
  </si>
  <si>
    <t>3142734854</t>
  </si>
  <si>
    <t>JAIRO</t>
  </si>
  <si>
    <t>3143278482</t>
  </si>
  <si>
    <t>JIMMY ALVIS</t>
  </si>
  <si>
    <t>3125953687</t>
  </si>
  <si>
    <t>ANDREA VELASQUEZ</t>
  </si>
  <si>
    <t>3204337031</t>
  </si>
  <si>
    <t>HERNESTO ANTOLINES</t>
  </si>
  <si>
    <t>3138290966</t>
  </si>
  <si>
    <t>ALGEMIRO JOSE</t>
  </si>
  <si>
    <t>3212453107</t>
  </si>
  <si>
    <t>JOSET FORERO</t>
  </si>
  <si>
    <t>3196129591</t>
  </si>
  <si>
    <t>SARA CASA TORNO</t>
  </si>
  <si>
    <t>3219516035</t>
  </si>
  <si>
    <t>GERMAN GEMELO</t>
  </si>
  <si>
    <t>3229100161</t>
  </si>
  <si>
    <t>OMAR QUIMBAYO</t>
  </si>
  <si>
    <t>3128397264</t>
  </si>
  <si>
    <t>3124067544</t>
  </si>
  <si>
    <t>PEDRO SAIZ</t>
  </si>
  <si>
    <t>3125695957</t>
  </si>
  <si>
    <t>HHY913</t>
  </si>
  <si>
    <t>JBL32E</t>
  </si>
  <si>
    <t xml:space="preserve"> </t>
  </si>
  <si>
    <t>LEONEL VASQUEZ</t>
  </si>
  <si>
    <t>3102984136</t>
  </si>
  <si>
    <t>3244477624</t>
  </si>
  <si>
    <t>TAPILUJOS SPECIAL</t>
  </si>
  <si>
    <t>cc</t>
  </si>
  <si>
    <t>NICOLAS VIDAL</t>
  </si>
  <si>
    <t>CANT</t>
  </si>
  <si>
    <t>Tipo de Documento de Identidad</t>
  </si>
  <si>
    <t>ERIKA MARCELA POSADA</t>
  </si>
  <si>
    <t>3115265270</t>
  </si>
  <si>
    <t>ERIKA POSADA</t>
  </si>
  <si>
    <t>LA RECOMENDÓ KAREN DE GORA (IMPULSO DE GORA) FRENTE AL CTI</t>
  </si>
  <si>
    <t>EDWIN RAMIREZ CARDENAS</t>
  </si>
  <si>
    <t>3170978011</t>
  </si>
  <si>
    <t>3107902517</t>
  </si>
  <si>
    <t>INGENIERO MOTOSPECIAL</t>
  </si>
  <si>
    <t>DANIELA ESPINOSA</t>
  </si>
  <si>
    <t>LUIS EDUARDO PAPA NOEL</t>
  </si>
  <si>
    <t>3007593367</t>
  </si>
  <si>
    <t>CHIVO TRANSITO</t>
  </si>
  <si>
    <t>3204992835</t>
  </si>
  <si>
    <t>MARTES 02 JUNIO DE 2026</t>
  </si>
  <si>
    <t>AUT75E</t>
  </si>
  <si>
    <t>GFW85D</t>
  </si>
  <si>
    <t>RJF34D</t>
  </si>
  <si>
    <t xml:space="preserve">KELLY LORENA PARAMO CUENCA </t>
  </si>
  <si>
    <t>JUAN SEBASTIAN PAEZ</t>
  </si>
  <si>
    <t xml:space="preserve">COMPAÑIA AMERICANA  </t>
  </si>
  <si>
    <t>NIT</t>
  </si>
  <si>
    <t>JOI47C</t>
  </si>
  <si>
    <t>CLAUDIA MILENA INSIGNARES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</si>
</sst>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_-&quot;$&quot;\ * #,##0_-;\-&quot;$&quot;\ * #,##0_-;_-&quot;$&quot;\ * &quot;-&quot;??_-;_-@_-"/>
    <numFmt numFmtId="169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9"/>
      <color theme="1"/>
      <name val="Tahoma"/>
      <family val="2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2" borderId="17" applyNumberFormat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4" fillId="5" borderId="18" applyNumberFormat="0" applyAlignment="0" applyProtection="0"/>
  </cellStyleXfs>
  <cellXfs count="110">
    <xf numFmtId="0" fontId="0" fillId="0" borderId="0" xfId="0"/>
    <xf numFmtId="49" fontId="3" fillId="0" borderId="3" xfId="3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6" fontId="6" fillId="0" borderId="4" xfId="3" applyNumberFormat="1" applyFont="1" applyFill="1" applyBorder="1" applyAlignment="1">
      <alignment horizontal="center" vertical="center" wrapText="1"/>
    </xf>
    <xf numFmtId="168" fontId="6" fillId="0" borderId="4" xfId="1" applyNumberFormat="1" applyFont="1" applyFill="1" applyBorder="1" applyAlignment="1">
      <alignment horizontal="center" vertical="center" wrapText="1"/>
    </xf>
    <xf numFmtId="168" fontId="6" fillId="0" borderId="3" xfId="1" applyNumberFormat="1" applyFont="1" applyFill="1" applyBorder="1" applyAlignment="1">
      <alignment horizontal="center" vertical="center" wrapText="1"/>
    </xf>
    <xf numFmtId="166" fontId="6" fillId="0" borderId="3" xfId="3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/>
    <xf numFmtId="168" fontId="4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8" fontId="7" fillId="0" borderId="4" xfId="1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8" fontId="4" fillId="0" borderId="3" xfId="1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8" fontId="4" fillId="0" borderId="12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vertical="center"/>
    </xf>
    <xf numFmtId="168" fontId="4" fillId="0" borderId="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8" fontId="7" fillId="0" borderId="15" xfId="1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7" fillId="0" borderId="0" xfId="0" applyFont="1"/>
    <xf numFmtId="14" fontId="4" fillId="0" borderId="0" xfId="0" applyNumberFormat="1" applyFont="1"/>
    <xf numFmtId="168" fontId="7" fillId="0" borderId="0" xfId="1" applyNumberFormat="1" applyFont="1" applyFill="1"/>
    <xf numFmtId="168" fontId="4" fillId="0" borderId="0" xfId="1" applyNumberFormat="1" applyFont="1" applyFill="1"/>
    <xf numFmtId="44" fontId="4" fillId="0" borderId="0" xfId="1" applyFont="1" applyFill="1"/>
    <xf numFmtId="37" fontId="12" fillId="0" borderId="7" xfId="0" applyNumberFormat="1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3" fontId="12" fillId="0" borderId="8" xfId="2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167" fontId="12" fillId="0" borderId="1" xfId="2" applyNumberFormat="1" applyFont="1" applyFill="1" applyBorder="1" applyAlignment="1">
      <alignment horizontal="center" vertical="center"/>
    </xf>
    <xf numFmtId="166" fontId="12" fillId="0" borderId="12" xfId="3" applyNumberFormat="1" applyFont="1" applyFill="1" applyBorder="1" applyAlignment="1">
      <alignment horizontal="center" vertical="center" wrapText="1"/>
    </xf>
    <xf numFmtId="167" fontId="12" fillId="0" borderId="12" xfId="2" applyNumberFormat="1" applyFont="1" applyFill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166" fontId="13" fillId="0" borderId="4" xfId="3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66" fontId="13" fillId="0" borderId="3" xfId="3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6" fontId="1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9" fillId="2" borderId="17" xfId="4" applyNumberFormat="1" applyAlignment="1">
      <alignment horizontal="center" vertical="center"/>
    </xf>
    <xf numFmtId="168" fontId="9" fillId="2" borderId="17" xfId="4" applyNumberFormat="1" applyAlignment="1">
      <alignment horizontal="center" vertical="center"/>
    </xf>
    <xf numFmtId="0" fontId="9" fillId="2" borderId="17" xfId="4" applyAlignment="1">
      <alignment horizontal="center" vertical="center"/>
    </xf>
    <xf numFmtId="166" fontId="9" fillId="2" borderId="17" xfId="4" applyNumberFormat="1" applyAlignment="1">
      <alignment horizontal="center" vertical="center"/>
    </xf>
    <xf numFmtId="168" fontId="10" fillId="4" borderId="4" xfId="6" applyNumberFormat="1" applyBorder="1" applyAlignment="1">
      <alignment horizontal="center" vertical="center"/>
    </xf>
    <xf numFmtId="0" fontId="10" fillId="4" borderId="4" xfId="6" applyBorder="1" applyAlignment="1">
      <alignment horizontal="center" vertical="center"/>
    </xf>
    <xf numFmtId="0" fontId="10" fillId="4" borderId="17" xfId="6" applyBorder="1" applyAlignment="1">
      <alignment horizontal="center" vertical="center"/>
    </xf>
    <xf numFmtId="166" fontId="10" fillId="4" borderId="17" xfId="6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168" fontId="0" fillId="0" borderId="0" xfId="1" applyNumberFormat="1" applyFont="1"/>
    <xf numFmtId="168" fontId="0" fillId="0" borderId="0" xfId="0" applyNumberFormat="1"/>
    <xf numFmtId="0" fontId="14" fillId="5" borderId="18" xfId="7" applyAlignment="1">
      <alignment horizontal="center" vertical="center"/>
    </xf>
    <xf numFmtId="166" fontId="14" fillId="5" borderId="18" xfId="7" applyNumberFormat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6" fontId="13" fillId="0" borderId="4" xfId="0" applyNumberFormat="1" applyFont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166" fontId="13" fillId="0" borderId="4" xfId="0" applyNumberFormat="1" applyFont="1" applyBorder="1" applyAlignment="1">
      <alignment horizontal="center" vertical="center"/>
    </xf>
    <xf numFmtId="37" fontId="5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166" fontId="3" fillId="0" borderId="3" xfId="3" applyNumberFormat="1" applyFont="1" applyFill="1" applyBorder="1" applyAlignment="1">
      <alignment horizontal="center" vertical="center"/>
    </xf>
    <xf numFmtId="169" fontId="11" fillId="3" borderId="5" xfId="5" applyNumberFormat="1" applyFont="1" applyBorder="1" applyAlignment="1">
      <alignment vertical="center"/>
    </xf>
    <xf numFmtId="169" fontId="11" fillId="3" borderId="11" xfId="5" applyNumberFormat="1" applyFont="1" applyBorder="1" applyAlignment="1">
      <alignment vertical="center"/>
    </xf>
    <xf numFmtId="169" fontId="11" fillId="3" borderId="6" xfId="5" applyNumberFormat="1" applyFont="1" applyBorder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4" fillId="5" borderId="19" xfId="7" applyBorder="1" applyAlignment="1">
      <alignment horizontal="center" vertical="center"/>
    </xf>
    <xf numFmtId="0" fontId="14" fillId="5" borderId="20" xfId="7" applyBorder="1" applyAlignment="1">
      <alignment horizontal="center" vertical="center"/>
    </xf>
    <xf numFmtId="0" fontId="10" fillId="3" borderId="4" xfId="5" applyBorder="1" applyAlignment="1">
      <alignment horizontal="center" vertical="center"/>
    </xf>
    <xf numFmtId="0" fontId="10" fillId="3" borderId="5" xfId="5" applyBorder="1" applyAlignment="1">
      <alignment horizontal="center" vertical="center"/>
    </xf>
    <xf numFmtId="0" fontId="10" fillId="3" borderId="6" xfId="5" applyBorder="1" applyAlignment="1">
      <alignment horizontal="center" vertical="center"/>
    </xf>
    <xf numFmtId="0" fontId="10" fillId="3" borderId="1" xfId="5" applyBorder="1" applyAlignment="1">
      <alignment horizontal="center" vertical="center"/>
    </xf>
    <xf numFmtId="0" fontId="10" fillId="3" borderId="2" xfId="5" applyBorder="1" applyAlignment="1">
      <alignment horizontal="center" vertical="center"/>
    </xf>
    <xf numFmtId="37" fontId="5" fillId="0" borderId="4" xfId="0" applyNumberFormat="1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/>
    </xf>
  </cellXfs>
  <cellStyles count="8">
    <cellStyle name="60% - Énfasis2" xfId="6" builtinId="36"/>
    <cellStyle name="Celda de comprobación" xfId="4" builtinId="23"/>
    <cellStyle name="Énfasis2" xfId="5" builtinId="33"/>
    <cellStyle name="Millares 2" xfId="2" xr:uid="{00000000-0005-0000-0000-000003000000}"/>
    <cellStyle name="Moneda" xfId="1" builtinId="4"/>
    <cellStyle name="Moneda 2" xfId="3" xr:uid="{00000000-0005-0000-0000-000005000000}"/>
    <cellStyle name="Normal" xfId="0" builtinId="0"/>
    <cellStyle name="Salida" xfId="7" builtinId="21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8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8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6" formatCode="_(&quot;$&quot;\ * #,##0_);_(&quot;$&quot;\ * \(#,##0\);_(&quot;$&quot;\ 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8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8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6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5" formatCode="#,##0;\-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(&quot;$&quot;\ * #,##0_);_(&quot;$&quot;\ * \(#,##0\);_(&quot;$&quot;\ 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numFmt numFmtId="166" formatCode="_(&quot;$&quot;\ * #,##0_);_(&quot;$&quot;\ * \(#,##0\);_(&quot;$&quot;\ * &quot;-&quot;??_);_(@_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 Light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8" formatCode="_-&quot;$&quot;\ * #,##0_-;\-&quot;$&quot;\ * #,##0_-;_-&quot;$&quot;\ * &quot;-&quot;??_-;_-@_-"/>
    </dxf>
    <dxf>
      <numFmt numFmtId="168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170" formatCode="_-&quot;$&quot;\ * #,##0.0_-;\-&quot;$&quot;\ * #,##0.0_-;_-&quot;$&quot;\ * &quot;-&quot;??_-;_-@_-"/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CION%20CONVENI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OneDrive/Documentos/Drive/Empresas/Centro%20Diagnostico%20Automotor/CertiMotos/Recepci&#243;n/CIERRES%20DIARIOS/2026/MARZO/31%20MARZO%202026/1.%20CIERRE%20MARTES%2031%20MARZ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RECIENTE"/>
      <sheetName val="RELACION CONVENIO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Pagos Convenios"/>
      <sheetName val="Planilla Cierre Diario Formulad"/>
      <sheetName val="Convenios"/>
      <sheetName val="1. CIERRE MARTES 31 MARZO 2026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41.348349537038" createdVersion="6" refreshedVersion="8" minRefreshableVersion="3" recordCount="23" xr:uid="{00000000-000A-0000-FFFF-FFFF03000000}">
  <cacheSource type="worksheet">
    <worksheetSource name="Cierre_Diario235"/>
  </cacheSource>
  <cacheFields count="24">
    <cacheField name="ITEM" numFmtId="37">
      <sharedItems containsSemiMixedTypes="0" containsString="0" containsNumber="1" containsInteger="1" minValue="1" maxValue="23"/>
    </cacheField>
    <cacheField name="FACT" numFmtId="1">
      <sharedItems containsNonDate="0" containsString="0" containsBlank="1"/>
    </cacheField>
    <cacheField name="TIPO DOC" numFmtId="0">
      <sharedItems containsNonDate="0" containsString="0" containsBlank="1"/>
    </cacheField>
    <cacheField name="NUM. DOC" numFmtId="0">
      <sharedItems containsNonDate="0" containsString="0" containsBlank="1"/>
    </cacheField>
    <cacheField name="TIPO DE CLIENTE" numFmtId="0">
      <sharedItems containsNonDate="0" containsString="0" containsBlank="1"/>
    </cacheField>
    <cacheField name="TELEFONOS" numFmtId="0">
      <sharedItems containsString="0" containsBlank="1" containsNumber="1" containsInteger="1" minValue="1651" maxValue="1651"/>
    </cacheField>
    <cacheField name="REFERIDOS" numFmtId="0">
      <sharedItems containsBlank="1" count="10">
        <s v="VIVIANA OVIEDO"/>
        <s v="VICENTE OCHOA"/>
        <m/>
        <s v="BRANDON SABOGAL" u="1"/>
        <s v="DANIEL GOMEZ" u="1"/>
        <s v="EDWIN TAPIAS " u="1"/>
        <s v="USUARIO" u="1"/>
        <s v="Leonardo Cardeñoza" u="1"/>
        <s v="GONZALO MEJIA URIBE" u="1"/>
        <s v="PACHON CERTIMOTOS" u="1"/>
      </sharedItems>
    </cacheField>
    <cacheField name="PLACA " numFmtId="0">
      <sharedItems containsBlank="1" count="23">
        <s v="HHY913"/>
        <s v="JBL32E"/>
        <m/>
        <s v="EMJ26E" u="1"/>
        <s v="JCD14D" u="1"/>
        <s v="TGM08E" u="1"/>
        <s v="IOJ70F" u="1"/>
        <s v="YLA56A" u="1"/>
        <s v="XDS28D" u="1"/>
        <s v="WZW60F" u="1"/>
        <s v="IVD16F" u="1"/>
        <s v="OAT87D" u="1"/>
        <s v="YPV34C" u="1"/>
        <s v="GDH86E" u="1"/>
        <s v="JFK44C" u="1"/>
        <s v="GCA81E" u="1"/>
        <s v="BNG76C" u="1"/>
        <s v="GCA59E" u="1"/>
        <s v="RYC81C" u="1"/>
        <s v="YLD99G" u="1"/>
        <s v="FJH83F" u="1"/>
        <s v="PRH12D" u="1"/>
        <s v="RFL88B" u="1"/>
      </sharedItems>
    </cacheField>
    <cacheField name="MODELO" numFmtId="0">
      <sharedItems containsString="0" containsBlank="1" containsNumber="1" containsInteger="1" minValue="2025" maxValue="2025"/>
    </cacheField>
    <cacheField name=" N°PIN ADQUIRIDO" numFmtId="49">
      <sharedItems containsBlank="1"/>
    </cacheField>
    <cacheField name="TOTAL" numFmtId="166">
      <sharedItems containsString="0" containsBlank="1" containsNumber="1" containsInteger="1" minValue="248000" maxValue="248000"/>
    </cacheField>
    <cacheField name="METODO DE PAGO" numFmtId="49">
      <sharedItems containsBlank="1"/>
    </cacheField>
    <cacheField name="DEDUCCIONES CONVENIOS " numFmtId="166">
      <sharedItems containsNonDate="0" containsString="0" containsBlank="1"/>
    </cacheField>
    <cacheField name="SICOV SERV HOM" numFmtId="166">
      <sharedItems containsSemiMixedTypes="0" containsString="0" containsNumber="1" containsInteger="1" minValue="0" maxValue="29825"/>
    </cacheField>
    <cacheField name="IVA SICOV" numFmtId="166">
      <sharedItems containsSemiMixedTypes="0" containsString="0" containsNumber="1" minValue="0" maxValue="5666.75"/>
    </cacheField>
    <cacheField name="RECAUDO" numFmtId="166">
      <sharedItems containsSemiMixedTypes="0" containsString="0" containsNumber="1" containsInteger="1" minValue="0" maxValue="8693"/>
    </cacheField>
    <cacheField name="IVA RECAUDO" numFmtId="166">
      <sharedItems containsSemiMixedTypes="0" containsString="0" containsNumber="1" minValue="0" maxValue="1651.67"/>
    </cacheField>
    <cacheField name="ANSV" numFmtId="168">
      <sharedItems containsSemiMixedTypes="0" containsString="0" containsNumber="1" containsInteger="1" minValue="0" maxValue="8500"/>
    </cacheField>
    <cacheField name="FUPA" numFmtId="168">
      <sharedItems containsSemiMixedTypes="0" containsString="0" containsNumber="1" containsInteger="1" minValue="0" maxValue="5600"/>
    </cacheField>
    <cacheField name="COSTE TRANSACCION" numFmtId="166">
      <sharedItems containsSemiMixedTypes="0" containsString="0" containsNumber="1" containsInteger="1" minValue="0" maxValue="1000"/>
    </cacheField>
    <cacheField name="IVA de FACT" numFmtId="166">
      <sharedItems containsSemiMixedTypes="0" containsString="0" containsNumber="1" containsInteger="1" minValue="0" maxValue="0"/>
    </cacheField>
    <cacheField name="Sustratos" numFmtId="166">
      <sharedItems containsSemiMixedTypes="0" containsString="0" containsNumber="1" containsInteger="1" minValue="0" maxValue="800"/>
    </cacheField>
    <cacheField name="COSTOS TOTAL" numFmtId="166">
      <sharedItems containsSemiMixedTypes="0" containsString="0" containsNumber="1" minValue="0" maxValue="60736.42"/>
    </cacheField>
    <cacheField name="OBSERVACIONES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m/>
    <m/>
    <m/>
    <m/>
    <n v="1651"/>
    <x v="0"/>
    <x v="0"/>
    <n v="2025"/>
    <s v="1365135"/>
    <n v="248000"/>
    <s v="EFECTIVO"/>
    <m/>
    <n v="29825"/>
    <n v="5666.75"/>
    <n v="8693"/>
    <n v="1651.67"/>
    <n v="8500"/>
    <n v="5600"/>
    <n v="0"/>
    <n v="0"/>
    <n v="800"/>
    <n v="60736.42"/>
    <m/>
  </r>
  <r>
    <n v="2"/>
    <m/>
    <m/>
    <m/>
    <m/>
    <m/>
    <x v="1"/>
    <x v="1"/>
    <m/>
    <m/>
    <n v="248000"/>
    <s v="QR SG"/>
    <m/>
    <n v="0"/>
    <n v="0"/>
    <n v="0"/>
    <n v="0"/>
    <n v="0"/>
    <n v="0"/>
    <n v="1000"/>
    <n v="0"/>
    <n v="0"/>
    <n v="1000"/>
    <m/>
  </r>
  <r>
    <n v="3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4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5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6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7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8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9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0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1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2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3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4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5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6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7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8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19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20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21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22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  <r>
    <n v="23"/>
    <m/>
    <m/>
    <m/>
    <m/>
    <m/>
    <x v="2"/>
    <x v="2"/>
    <m/>
    <m/>
    <m/>
    <m/>
    <m/>
    <n v="0"/>
    <n v="0"/>
    <n v="0"/>
    <n v="0"/>
    <n v="0"/>
    <n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C10" firstHeaderRow="0" firstDataRow="1" firstDataCol="1"/>
  <pivotFields count="24">
    <pivotField numFmtId="37" showAll="0"/>
    <pivotField showAll="0"/>
    <pivotField showAll="0"/>
    <pivotField showAll="0"/>
    <pivotField showAll="0"/>
    <pivotField showAll="0"/>
    <pivotField axis="axisRow" showAll="0">
      <items count="11">
        <item x="2"/>
        <item m="1" x="8"/>
        <item m="1" x="4"/>
        <item m="1" x="5"/>
        <item m="1" x="3"/>
        <item m="1" x="9"/>
        <item m="1" x="6"/>
        <item m="1" x="7"/>
        <item x="0"/>
        <item x="1"/>
        <item t="default"/>
      </items>
    </pivotField>
    <pivotField axis="axisRow" showAll="0">
      <items count="24">
        <item x="2"/>
        <item m="1" x="20"/>
        <item m="1" x="17"/>
        <item m="1" x="21"/>
        <item m="1" x="22"/>
        <item m="1" x="12"/>
        <item m="1" x="14"/>
        <item m="1" x="6"/>
        <item m="1" x="15"/>
        <item m="1" x="8"/>
        <item m="1" x="7"/>
        <item m="1" x="16"/>
        <item m="1" x="10"/>
        <item m="1" x="19"/>
        <item m="1" x="3"/>
        <item m="1" x="11"/>
        <item m="1" x="13"/>
        <item m="1" x="18"/>
        <item m="1" x="9"/>
        <item m="1" x="5"/>
        <item m="1" x="4"/>
        <item x="0"/>
        <item x="1"/>
        <item t="default"/>
      </items>
    </pivotField>
    <pivotField showAll="0"/>
    <pivotField dataField="1" showAll="0"/>
    <pivotField numFmtId="166" showAll="0"/>
    <pivotField showAll="0"/>
    <pivotField dataField="1" showAll="0"/>
    <pivotField numFmtId="166" showAll="0"/>
    <pivotField numFmtId="166" showAll="0"/>
    <pivotField numFmtId="166" showAll="0"/>
    <pivotField numFmtId="166" showAll="0"/>
    <pivotField numFmtId="168" showAll="0"/>
    <pivotField numFmtId="168" showAll="0"/>
    <pivotField numFmtId="166" showAll="0"/>
    <pivotField numFmtId="166" showAll="0"/>
    <pivotField numFmtId="166" showAll="0"/>
    <pivotField numFmtId="166" showAll="0"/>
    <pivotField showAll="0"/>
  </pivotFields>
  <rowFields count="2">
    <field x="6"/>
    <field x="7"/>
  </rowFields>
  <rowItems count="7">
    <i>
      <x/>
    </i>
    <i r="1">
      <x/>
    </i>
    <i>
      <x v="8"/>
    </i>
    <i r="1">
      <x v="21"/>
    </i>
    <i>
      <x v="9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DESCUENTOS" fld="12" baseField="7" baseItem="0" numFmtId="168"/>
    <dataField name="RTM REALIZADAS" fld="9" subtotal="count" baseField="0" baseItem="0"/>
  </dataFields>
  <formats count="4">
    <format dxfId="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venios1" backgroundRefresh="0" connectionId="2" xr16:uid="{00000000-0016-0000-0200-000000000000}" autoFormatId="16" applyNumberFormats="0" applyBorderFormats="0" applyFontFormats="0" applyPatternFormats="0" applyAlignmentFormats="0" applyWidthHeightFormats="0">
  <queryTableRefresh nextId="16">
    <queryTableFields count="15">
      <queryTableField id="1" name="CANT" tableColumnId="1"/>
      <queryTableField id="2" name="Nombre completo del aliado" tableColumnId="2"/>
      <queryTableField id="3" name="Número de Contacto" tableColumnId="3"/>
      <queryTableField id="4" name="Número de contacto Alternativo" tableColumnId="4"/>
      <queryTableField id="5" name="Tipo de Documento de Identidad" tableColumnId="5"/>
      <queryTableField id="6" name="Número de Documento" tableColumnId="6"/>
      <queryTableField id="7" name="Metodo de pago" tableColumnId="7"/>
      <queryTableField id="8" name="Número de cuenta" tableColumnId="8"/>
      <queryTableField id="9" name="Tipo de documento del titular" tableColumnId="9"/>
      <queryTableField id="10" name="Documento del Titular de la cuenta" tableColumnId="10"/>
      <queryTableField id="11" name="Dirección" tableColumnId="11"/>
      <queryTableField id="12" name="Empresa" tableColumnId="12"/>
      <queryTableField id="13" name="Observacion" tableColumnId="13"/>
      <queryTableField id="14" name="Notas" tableColumnId="14"/>
      <queryTableField id="15" name="Inscrito" tableColumnId="15"/>
    </queryTableFields>
  </queryTableRefresh>
  <extLst>
    <ext xmlns:x15="http://schemas.microsoft.com/office/spreadsheetml/2010/11/main" uri="{883FBD77-0823-4a55-B5E3-86C4891E6966}">
      <x15:queryTable sourceDataName="WorksheetConnection_RELACION CONVENIOS.xlsx!Convenios1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ierre_Diario235" displayName="Cierre_Diario235" ref="A2:X23" totalsRowCount="1" headerRowDxfId="85" dataDxfId="84" totalsRowDxfId="82" tableBorderDxfId="83" dataCellStyle="Moneda 2">
  <autoFilter ref="A2:X22" xr:uid="{DC2FCC1E-9B43-4791-86A6-01F7B3258CE1}"/>
  <tableColumns count="24">
    <tableColumn id="1" xr3:uid="{00000000-0010-0000-0000-000001000000}" name="ITEM" totalsRowLabel="Total" dataDxfId="52" totalsRowDxfId="23"/>
    <tableColumn id="2" xr3:uid="{00000000-0010-0000-0000-000002000000}" name="FACT" totalsRowFunction="count" dataDxfId="51" totalsRowDxfId="22"/>
    <tableColumn id="3" xr3:uid="{00000000-0010-0000-0000-000003000000}" name="TIPO DOC" dataDxfId="50" totalsRowDxfId="21"/>
    <tableColumn id="4" xr3:uid="{00000000-0010-0000-0000-000004000000}" name="NUM. DOC" dataDxfId="49" totalsRowDxfId="20"/>
    <tableColumn id="5" xr3:uid="{00000000-0010-0000-0000-000005000000}" name="TIPO DE CLIENTE" dataDxfId="48" totalsRowDxfId="19"/>
    <tableColumn id="6" xr3:uid="{00000000-0010-0000-0000-000006000000}" name="TELEFONOS" dataDxfId="47" totalsRowDxfId="18"/>
    <tableColumn id="20" xr3:uid="{00000000-0010-0000-0000-000014000000}" name="REFERIDOS" totalsRowFunction="count" dataDxfId="46" totalsRowDxfId="17"/>
    <tableColumn id="7" xr3:uid="{00000000-0010-0000-0000-000007000000}" name="PLACA " totalsRowFunction="count" dataDxfId="45" totalsRowDxfId="16"/>
    <tableColumn id="24" xr3:uid="{00000000-0010-0000-0000-000018000000}" name="MODELO" totalsRowFunction="count" dataDxfId="44" totalsRowDxfId="15"/>
    <tableColumn id="17" xr3:uid="{00000000-0010-0000-0000-000011000000}" name=" N°PIN ADQUIRIDO" totalsRowFunction="count" dataDxfId="43" totalsRowDxfId="14"/>
    <tableColumn id="11" xr3:uid="{00000000-0010-0000-0000-00000B000000}" name="TOTAL" totalsRowFunction="sum" dataDxfId="42" totalsRowDxfId="13" dataCellStyle="Moneda 2"/>
    <tableColumn id="21" xr3:uid="{00000000-0010-0000-0000-000015000000}" name="METODO DE PAGO" totalsRowFunction="count" dataDxfId="41" totalsRowDxfId="12" dataCellStyle="Moneda 2"/>
    <tableColumn id="16" xr3:uid="{00000000-0010-0000-0000-000010000000}" name="DEDUCCIONES CONVENIOS " totalsRowFunction="sum" dataDxfId="40" totalsRowDxfId="11" dataCellStyle="Moneda 2"/>
    <tableColumn id="12" xr3:uid="{00000000-0010-0000-0000-00000C000000}" name="SICOV SERV HOM" totalsRowFunction="sum" dataDxfId="39" totalsRowDxfId="10" dataCellStyle="Moneda 2">
      <calculatedColumnFormula>IF([2]!Cierre_Diario235[[#This Row],[ N°PIN ADQUIRIDO]]&gt;0,29825,)</calculatedColumnFormula>
    </tableColumn>
    <tableColumn id="23" xr3:uid="{00000000-0010-0000-0000-000017000000}" name="IVA SICOV" totalsRowFunction="sum" dataDxfId="38" totalsRowDxfId="9" dataCellStyle="Moneda 2">
      <calculatedColumnFormula>[2]!Cierre_Diario235[[#This Row],[SICOV SERV HOM]]*0.19</calculatedColumnFormula>
    </tableColumn>
    <tableColumn id="13" xr3:uid="{00000000-0010-0000-0000-00000D000000}" name="RECAUDO" totalsRowFunction="sum" dataDxfId="37" totalsRowDxfId="8" dataCellStyle="Moneda 2">
      <calculatedColumnFormula>IF([2]!Cierre_Diario235[[#This Row],[ N°PIN ADQUIRIDO]]&gt;0,8693,)</calculatedColumnFormula>
    </tableColumn>
    <tableColumn id="22" xr3:uid="{00000000-0010-0000-0000-000016000000}" name="IVA RECAUDO" totalsRowFunction="sum" dataDxfId="36" totalsRowDxfId="7" dataCellStyle="Moneda 2">
      <calculatedColumnFormula>[2]!Cierre_Diario235[[#This Row],[RECAUDO]]*0.19</calculatedColumnFormula>
    </tableColumn>
    <tableColumn id="14" xr3:uid="{00000000-0010-0000-0000-00000E000000}" name="ANSV" totalsRowFunction="sum" dataDxfId="35" totalsRowDxfId="6" dataCellStyle="Moneda">
      <calculatedColumnFormula>IF(OR(ISBLANK([2]!Cierre_Diario235[[#This Row],[MODELO]]),NOT(ISNUMBER([2]!Cierre_Diario235[[#This Row],[MODELO]])),[2]!Cierre_Diario235[[#This Row],[MODELO]]=0),0, IF([2]!Cierre_Diario235[[#This Row],[MODELO]]&gt;=2024,8500, IF(AND([2]!Cierre_Diario235[[#This Row],[MODELO]]&lt;=2023,[2]!Cierre_Diario235[[#This Row],[MODELO]]&gt;=2019),8800, IF(AND([2]!Cierre_Diario235[[#This Row],[MODELO]]&lt;=2018,[2]!Cierre_Diario235[[#This Row],[MODELO]]&gt;=2010),9100,IF([2]!Cierre_Diario235[[#This Row],[MODELO]]&lt;=2009,8800,0)))))</calculatedColumnFormula>
    </tableColumn>
    <tableColumn id="8" xr3:uid="{00000000-0010-0000-0000-000008000000}" name="FUPA" totalsRowFunction="sum" dataDxfId="34" totalsRowDxfId="5" dataCellStyle="Moneda">
      <calculatedColumnFormula>IF([2]!Cierre_Diario235[[#This Row],[ N°PIN ADQUIRIDO]]&gt;0,5600,0)</calculatedColumnFormula>
    </tableColumn>
    <tableColumn id="18" xr3:uid="{00000000-0010-0000-0000-000012000000}" name="COSTE TRANSACCION" totalsRowFunction="sum" dataDxfId="33" totalsRowDxfId="4" dataCellStyle="Moneda 2">
      <calculatedColumnFormula>IF([2]!Cierre_Diario235[[#This Row],[METODO DE PAGO]]="DATAFONO SG",[2]!Cierre_Diario235[[#This Row],[TOTAL]]*0.0079,IF([2]!Cierre_Diario235[[#This Row],[METODO DE PAGO]]="QR SG",1000,IF([2]!Cierre_Diario235[[#This Row],[METODO DE PAGO]]="CREDITO PROPIO",1000,IF([2]!Cierre_Diario235[[#This Row],[METODO DE PAGO]]="ADDI",([2]!Cierre_Diario235[[#This Row],[TOTAL]]*0.09)+(([2]!Cierre_Diario235[[#This Row],[TOTAL]]*0.09)*0.19),IF([2]!Cierre_Diario235[[#This Row],[METODO DE PAGO]]="DATAFONO CM",([2]!Cierre_Diario235[[#This Row],[TOTAL]]*0.04),0)))))</calculatedColumnFormula>
    </tableColumn>
    <tableColumn id="25" xr3:uid="{00000000-0010-0000-0000-000019000000}" name="IVA de FACT" totalsRowFunction="sum" dataDxfId="32" totalsRowDxfId="3" dataCellStyle="Moneda 2">
      <calculatedColumnFormula>IF([2]!Cierre_Diario235[[#This Row],[FACT]]&gt;0,37185,)</calculatedColumnFormula>
    </tableColumn>
    <tableColumn id="9" xr3:uid="{00000000-0010-0000-0000-000009000000}" name="Sustratos" totalsRowFunction="sum" dataDxfId="31" totalsRowDxfId="2" dataCellStyle="Moneda 2">
      <calculatedColumnFormula>IF([2]!Cierre_Diario235[[#This Row],[ N°PIN ADQUIRIDO]]&gt;0,800,0)</calculatedColumnFormula>
    </tableColumn>
    <tableColumn id="15" xr3:uid="{00000000-0010-0000-0000-00000F000000}" name="COSTOS TOTAL" totalsRowFunction="sum" dataDxfId="30" totalsRowDxfId="1" dataCellStyle="Moneda 2">
      <calculatedColumnFormula>SUM(N3:V3)</calculatedColumnFormula>
    </tableColumn>
    <tableColumn id="19" xr3:uid="{00000000-0010-0000-0000-000013000000}" name="OBSERVACIONES " dataDxfId="29" totalsRowDxfId="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16" displayName="Tabla16" ref="E34:G43" totalsRowCount="1" headerRowDxfId="81" dataDxfId="79" totalsRowDxfId="77" headerRowBorderDxfId="80" tableBorderDxfId="78" totalsRowBorderDxfId="76">
  <autoFilter ref="E34:G42" xr:uid="{00000000-0009-0000-0100-000005000000}"/>
  <tableColumns count="3">
    <tableColumn id="1" xr3:uid="{00000000-0010-0000-0100-000001000000}" name="CC" totalsRowLabel="Total" dataDxfId="75" totalsRowDxfId="74"/>
    <tableColumn id="2" xr3:uid="{00000000-0010-0000-0100-000002000000}" name="VALOR" totalsRowFunction="sum" dataDxfId="73" totalsRowDxfId="72" dataCellStyle="Moneda 2"/>
    <tableColumn id="3" xr3:uid="{00000000-0010-0000-0100-000003000000}" name="PLACA" totalsRowFunction="count" dataDxfId="71" totalsRowDxfId="7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Convenios1" displayName="Tabla_Convenios1" ref="A1:O147" tableType="queryTable" totalsRowShown="0" headerRowDxfId="69" dataDxfId="68">
  <autoFilter ref="A1:O147" xr:uid="{00000000-0009-0000-0100-000003000000}"/>
  <sortState ref="A2:O147">
    <sortCondition ref="B1:B110"/>
  </sortState>
  <tableColumns count="15">
    <tableColumn id="1" xr3:uid="{00000000-0010-0000-0200-000001000000}" uniqueName="1" name="CANT" queryTableFieldId="1" dataDxfId="67"/>
    <tableColumn id="2" xr3:uid="{00000000-0010-0000-0200-000002000000}" uniqueName="2" name="Nombre completo del aliado" queryTableFieldId="2" dataDxfId="66"/>
    <tableColumn id="3" xr3:uid="{00000000-0010-0000-0200-000003000000}" uniqueName="3" name="Número de Contacto" queryTableFieldId="3" dataDxfId="65"/>
    <tableColumn id="4" xr3:uid="{00000000-0010-0000-0200-000004000000}" uniqueName="4" name="Número de contacto Alternativo" queryTableFieldId="4" dataDxfId="64"/>
    <tableColumn id="5" xr3:uid="{00000000-0010-0000-0200-000005000000}" uniqueName="5" name="Tipo de Documento de Identidad" queryTableFieldId="5" dataDxfId="63"/>
    <tableColumn id="6" xr3:uid="{00000000-0010-0000-0200-000006000000}" uniqueName="6" name="Número de Documento" queryTableFieldId="6" dataDxfId="62"/>
    <tableColumn id="7" xr3:uid="{00000000-0010-0000-0200-000007000000}" uniqueName="7" name="Metodo de pago" queryTableFieldId="7" dataDxfId="61"/>
    <tableColumn id="8" xr3:uid="{00000000-0010-0000-0200-000008000000}" uniqueName="8" name="Número de cuenta" queryTableFieldId="8" dataDxfId="60"/>
    <tableColumn id="9" xr3:uid="{00000000-0010-0000-0200-000009000000}" uniqueName="9" name="Tipo de documento del titular" queryTableFieldId="9" dataDxfId="59"/>
    <tableColumn id="10" xr3:uid="{00000000-0010-0000-0200-00000A000000}" uniqueName="10" name="Documento del Titular de la cuenta" queryTableFieldId="10" dataDxfId="58"/>
    <tableColumn id="11" xr3:uid="{00000000-0010-0000-0200-00000B000000}" uniqueName="11" name="Dirección" queryTableFieldId="11" dataDxfId="57"/>
    <tableColumn id="12" xr3:uid="{00000000-0010-0000-0200-00000C000000}" uniqueName="12" name="Empresa" queryTableFieldId="12" dataDxfId="56"/>
    <tableColumn id="13" xr3:uid="{00000000-0010-0000-0200-00000D000000}" uniqueName="13" name="Observacion" queryTableFieldId="13" dataDxfId="55"/>
    <tableColumn id="14" xr3:uid="{00000000-0010-0000-0200-00000E000000}" uniqueName="14" name="Notas" queryTableFieldId="14" dataDxfId="54"/>
    <tableColumn id="15" xr3:uid="{00000000-0010-0000-0200-00000F000000}" uniqueName="15" name="Inscrito" queryTableFieldId="15" dataDxfId="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FF3871-A0D5-4CF0-881F-5ECA18B8D0EF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3fab866f-c594-48d0-a161-bb46e30465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workbookViewId="0">
      <selection activeCell="A2" sqref="A2:C2"/>
    </sheetView>
  </sheetViews>
  <sheetFormatPr baseColWidth="10" defaultRowHeight="15" x14ac:dyDescent="0.25"/>
  <cols>
    <col min="1" max="1" width="18.140625" bestFit="1" customWidth="1"/>
    <col min="2" max="2" width="14.140625" bestFit="1" customWidth="1"/>
    <col min="3" max="3" width="16.28515625" style="68" bestFit="1" customWidth="1"/>
  </cols>
  <sheetData>
    <row r="1" spans="1:17" x14ac:dyDescent="0.25">
      <c r="A1" s="96" t="str">
        <f>'Planilla Cierre Diario Formulad'!A1</f>
        <v>MARTES 02 JUNIO DE 2026</v>
      </c>
      <c r="B1" s="96"/>
      <c r="C1" s="96"/>
    </row>
    <row r="2" spans="1:17" x14ac:dyDescent="0.25">
      <c r="A2" s="95" t="s">
        <v>117</v>
      </c>
      <c r="B2" s="95"/>
      <c r="C2" s="95"/>
      <c r="M2" s="5"/>
      <c r="N2" s="5"/>
      <c r="O2" s="5"/>
      <c r="P2" s="5"/>
      <c r="Q2" s="5"/>
    </row>
    <row r="3" spans="1:17" x14ac:dyDescent="0.25">
      <c r="A3" s="3" t="s">
        <v>113</v>
      </c>
      <c r="B3" s="69" t="s">
        <v>332</v>
      </c>
      <c r="C3" t="s">
        <v>15</v>
      </c>
      <c r="M3" s="94" t="s">
        <v>116</v>
      </c>
      <c r="N3" s="94"/>
      <c r="O3" s="94"/>
      <c r="P3" s="94"/>
      <c r="Q3" s="94"/>
    </row>
    <row r="4" spans="1:17" x14ac:dyDescent="0.25">
      <c r="A4" s="4" t="s">
        <v>114</v>
      </c>
      <c r="B4" s="69"/>
      <c r="C4"/>
      <c r="M4" s="94"/>
      <c r="N4" s="94"/>
      <c r="O4" s="94"/>
      <c r="P4" s="94"/>
      <c r="Q4" s="94"/>
    </row>
    <row r="5" spans="1:17" x14ac:dyDescent="0.25">
      <c r="A5" s="67" t="s">
        <v>114</v>
      </c>
      <c r="B5" s="69"/>
      <c r="C5"/>
      <c r="M5" s="94"/>
      <c r="N5" s="94"/>
      <c r="O5" s="94"/>
      <c r="P5" s="94"/>
      <c r="Q5" s="94"/>
    </row>
    <row r="6" spans="1:17" x14ac:dyDescent="0.25">
      <c r="A6" s="4" t="s">
        <v>278</v>
      </c>
      <c r="B6" s="69"/>
      <c r="C6">
        <v>1</v>
      </c>
    </row>
    <row r="7" spans="1:17" x14ac:dyDescent="0.25">
      <c r="A7" s="67" t="s">
        <v>453</v>
      </c>
      <c r="B7" s="69"/>
      <c r="C7">
        <v>1</v>
      </c>
    </row>
    <row r="8" spans="1:17" x14ac:dyDescent="0.25">
      <c r="A8" s="4" t="s">
        <v>70</v>
      </c>
      <c r="B8" s="69"/>
      <c r="C8"/>
    </row>
    <row r="9" spans="1:17" x14ac:dyDescent="0.25">
      <c r="A9" s="67" t="s">
        <v>454</v>
      </c>
      <c r="B9" s="69"/>
      <c r="C9"/>
    </row>
    <row r="10" spans="1:17" x14ac:dyDescent="0.25">
      <c r="A10" s="4" t="s">
        <v>115</v>
      </c>
      <c r="B10" s="69"/>
      <c r="C10">
        <v>1</v>
      </c>
    </row>
    <row r="11" spans="1:17" x14ac:dyDescent="0.25">
      <c r="C11"/>
    </row>
    <row r="12" spans="1:17" x14ac:dyDescent="0.25">
      <c r="C12"/>
    </row>
    <row r="13" spans="1:17" x14ac:dyDescent="0.25">
      <c r="C13"/>
    </row>
    <row r="14" spans="1:17" x14ac:dyDescent="0.25">
      <c r="C14"/>
    </row>
    <row r="15" spans="1:17" x14ac:dyDescent="0.25">
      <c r="C15"/>
    </row>
    <row r="16" spans="1:17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</sheetData>
  <mergeCells count="3">
    <mergeCell ref="M3:Q5"/>
    <mergeCell ref="A2:C2"/>
    <mergeCell ref="A1:C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70"/>
  <sheetViews>
    <sheetView tabSelected="1" zoomScaleNormal="100" workbookViewId="0">
      <selection activeCell="G11" sqref="G11"/>
    </sheetView>
  </sheetViews>
  <sheetFormatPr baseColWidth="10" defaultColWidth="7.5703125" defaultRowHeight="12" x14ac:dyDescent="0.2"/>
  <cols>
    <col min="1" max="1" width="7.140625" style="6" customWidth="1"/>
    <col min="2" max="2" width="21.28515625" style="6" bestFit="1" customWidth="1"/>
    <col min="3" max="3" width="13.42578125" style="6" bestFit="1" customWidth="1"/>
    <col min="4" max="4" width="14.28515625" style="6" bestFit="1" customWidth="1"/>
    <col min="5" max="5" width="33.5703125" style="6" customWidth="1"/>
    <col min="6" max="6" width="15.140625" style="6" bestFit="1" customWidth="1"/>
    <col min="7" max="7" width="41.7109375" style="6" customWidth="1"/>
    <col min="8" max="8" width="11.28515625" style="6" bestFit="1" customWidth="1"/>
    <col min="9" max="11" width="21.7109375" style="6" bestFit="1" customWidth="1"/>
    <col min="12" max="12" width="21.5703125" style="6" bestFit="1" customWidth="1"/>
    <col min="13" max="13" width="17.7109375" style="6" bestFit="1" customWidth="1"/>
    <col min="14" max="14" width="20.140625" style="6" bestFit="1" customWidth="1"/>
    <col min="15" max="15" width="14.42578125" style="6" bestFit="1" customWidth="1"/>
    <col min="16" max="16" width="14" style="6" bestFit="1" customWidth="1"/>
    <col min="17" max="17" width="17.42578125" style="6" bestFit="1" customWidth="1"/>
    <col min="18" max="19" width="10.5703125" style="6" bestFit="1" customWidth="1"/>
    <col min="20" max="20" width="17.140625" style="6" bestFit="1" customWidth="1"/>
    <col min="21" max="21" width="11.5703125" style="6" bestFit="1" customWidth="1"/>
    <col min="22" max="22" width="13.85546875" style="6" bestFit="1" customWidth="1"/>
    <col min="23" max="23" width="12.42578125" style="6" bestFit="1" customWidth="1"/>
    <col min="24" max="24" width="43.42578125" style="14" customWidth="1"/>
    <col min="25" max="16384" width="7.5703125" style="6"/>
  </cols>
  <sheetData>
    <row r="1" spans="1:24" ht="36" x14ac:dyDescent="0.25">
      <c r="A1" s="83" t="s">
        <v>477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5"/>
    </row>
    <row r="2" spans="1:24" ht="23.25" customHeight="1" x14ac:dyDescent="0.25">
      <c r="A2" s="39" t="s">
        <v>0</v>
      </c>
      <c r="B2" s="40" t="s">
        <v>1</v>
      </c>
      <c r="C2" s="41" t="s">
        <v>2</v>
      </c>
      <c r="D2" s="42" t="s">
        <v>3</v>
      </c>
      <c r="E2" s="43" t="s">
        <v>84</v>
      </c>
      <c r="F2" s="44" t="s">
        <v>4</v>
      </c>
      <c r="G2" s="45" t="s">
        <v>81</v>
      </c>
      <c r="H2" s="44" t="s">
        <v>5</v>
      </c>
      <c r="I2" s="44" t="s">
        <v>44</v>
      </c>
      <c r="J2" s="46" t="s">
        <v>6</v>
      </c>
      <c r="K2" s="46" t="s">
        <v>10</v>
      </c>
      <c r="L2" s="46" t="s">
        <v>34</v>
      </c>
      <c r="M2" s="46" t="s">
        <v>45</v>
      </c>
      <c r="N2" s="46" t="s">
        <v>42</v>
      </c>
      <c r="O2" s="46" t="s">
        <v>43</v>
      </c>
      <c r="P2" s="46" t="s">
        <v>11</v>
      </c>
      <c r="Q2" s="46" t="s">
        <v>41</v>
      </c>
      <c r="R2" s="46" t="s">
        <v>12</v>
      </c>
      <c r="S2" s="46" t="s">
        <v>85</v>
      </c>
      <c r="T2" s="46" t="s">
        <v>40</v>
      </c>
      <c r="U2" s="46" t="s">
        <v>49</v>
      </c>
      <c r="V2" s="46" t="s">
        <v>96</v>
      </c>
      <c r="W2" s="46" t="s">
        <v>25</v>
      </c>
      <c r="X2" s="47" t="s">
        <v>8</v>
      </c>
    </row>
    <row r="3" spans="1:24" x14ac:dyDescent="0.25">
      <c r="A3" s="79"/>
      <c r="B3" s="80"/>
      <c r="C3" s="7" t="s">
        <v>484</v>
      </c>
      <c r="D3" s="2">
        <v>830058272</v>
      </c>
      <c r="E3" s="2" t="s">
        <v>483</v>
      </c>
      <c r="F3" s="8"/>
      <c r="G3" s="2" t="s">
        <v>315</v>
      </c>
      <c r="H3" s="8" t="s">
        <v>478</v>
      </c>
      <c r="I3" s="8">
        <v>2016</v>
      </c>
      <c r="J3" s="81"/>
      <c r="K3" s="9">
        <v>247590</v>
      </c>
      <c r="L3" s="1" t="s">
        <v>9</v>
      </c>
      <c r="M3" s="82"/>
      <c r="N3" s="9">
        <f>IF(Cierre_Diario235[[#This Row],[ N°PIN ADQUIRIDO]]&gt;0,29825,)</f>
        <v>0</v>
      </c>
      <c r="O3" s="9">
        <f>Cierre_Diario235[[#This Row],[SICOV SERV HOM]]*0.19</f>
        <v>0</v>
      </c>
      <c r="P3" s="9">
        <f>IF(Cierre_Diario235[[#This Row],[ N°PIN ADQUIRIDO]]&gt;0,8693,)</f>
        <v>0</v>
      </c>
      <c r="Q3" s="9">
        <f>Cierre_Diario235[[#This Row],[RECAUDO]]*0.19</f>
        <v>0</v>
      </c>
      <c r="R3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9100</v>
      </c>
      <c r="S3" s="11">
        <f>IF(Cierre_Diario235[[#This Row],[ N°PIN ADQUIRIDO]]&gt;0,5600,0)</f>
        <v>0</v>
      </c>
      <c r="T3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3" s="12">
        <f>IF(Cierre_Diario235[[#This Row],[FACT]]&gt;0,37185,)</f>
        <v>0</v>
      </c>
      <c r="V3" s="12">
        <f>IF(Cierre_Diario235[[#This Row],[ N°PIN ADQUIRIDO]]&gt;0,800,0)</f>
        <v>0</v>
      </c>
      <c r="W3" s="9">
        <f t="shared" ref="W3:W13" si="0">SUM(N3:V3)</f>
        <v>9100</v>
      </c>
      <c r="X3" s="8"/>
    </row>
    <row r="4" spans="1:24" x14ac:dyDescent="0.25">
      <c r="A4" s="104"/>
      <c r="B4" s="105"/>
      <c r="C4" s="106" t="s">
        <v>13</v>
      </c>
      <c r="D4" s="2">
        <v>1007103594</v>
      </c>
      <c r="E4" s="2" t="s">
        <v>482</v>
      </c>
      <c r="F4" s="8">
        <v>3114789388</v>
      </c>
      <c r="G4" s="107"/>
      <c r="H4" s="108" t="s">
        <v>479</v>
      </c>
      <c r="I4" s="108"/>
      <c r="J4" s="109"/>
      <c r="K4" s="9">
        <v>219590</v>
      </c>
      <c r="L4" s="1" t="s">
        <v>9</v>
      </c>
      <c r="M4" s="82"/>
      <c r="N4" s="9" t="e">
        <f>IF([2]!Cierre_Diario235[[#This Row],[ N°PIN ADQUIRIDO]]&gt;0,29825,)</f>
        <v>#REF!</v>
      </c>
      <c r="O4" s="9" t="e">
        <f>[2]!Cierre_Diario235[[#This Row],[SICOV SERV HOM]]*0.19</f>
        <v>#REF!</v>
      </c>
      <c r="P4" s="9" t="e">
        <f>IF([2]!Cierre_Diario235[[#This Row],[ N°PIN ADQUIRIDO]]&gt;0,8693,)</f>
        <v>#REF!</v>
      </c>
      <c r="Q4" s="9" t="e">
        <f>[2]!Cierre_Diario235[[#This Row],[RECAUDO]]*0.19</f>
        <v>#REF!</v>
      </c>
      <c r="R4" s="10" t="e">
        <f>IF(OR(ISBLANK([2]!Cierre_Diario235[[#This Row],[MODELO]]),NOT(ISNUMBER([2]!Cierre_Diario235[[#This Row],[MODELO]])),[2]!Cierre_Diario235[[#This Row],[MODELO]]=0),0, IF([2]!Cierre_Diario235[[#This Row],[MODELO]]&gt;=2024,8500, IF(AND([2]!Cierre_Diario235[[#This Row],[MODELO]]&lt;=2023,[2]!Cierre_Diario235[[#This Row],[MODELO]]&gt;=2019),8800, IF(AND([2]!Cierre_Diario235[[#This Row],[MODELO]]&lt;=2018,[2]!Cierre_Diario235[[#This Row],[MODELO]]&gt;=2010),9100,IF([2]!Cierre_Diario235[[#This Row],[MODELO]]&lt;=2009,8800,0)))))</f>
        <v>#REF!</v>
      </c>
      <c r="S4" s="11" t="e">
        <f>IF([2]!Cierre_Diario235[[#This Row],[ N°PIN ADQUIRIDO]]&gt;0,5600,0)</f>
        <v>#REF!</v>
      </c>
      <c r="T4" s="12" t="e">
        <f>IF([2]!Cierre_Diario235[[#This Row],[METODO DE PAGO]]="DATAFONO SG",[2]!Cierre_Diario235[[#This Row],[TOTAL]]*0.0079,IF([2]!Cierre_Diario235[[#This Row],[METODO DE PAGO]]="QR SG",1000,IF([2]!Cierre_Diario235[[#This Row],[METODO DE PAGO]]="CREDITO PROPIO",1000,IF([2]!Cierre_Diario235[[#This Row],[METODO DE PAGO]]="ADDI",([2]!Cierre_Diario235[[#This Row],[TOTAL]]*0.09)+(([2]!Cierre_Diario235[[#This Row],[TOTAL]]*0.09)*0.19),IF([2]!Cierre_Diario235[[#This Row],[METODO DE PAGO]]="DATAFONO CM",([2]!Cierre_Diario235[[#This Row],[TOTAL]]*0.04),0)))))</f>
        <v>#REF!</v>
      </c>
      <c r="U4" s="12" t="e">
        <f>IF([2]!Cierre_Diario235[[#This Row],[FACT]]&gt;0,37185,)</f>
        <v>#REF!</v>
      </c>
      <c r="V4" s="12" t="e">
        <f>IF([2]!Cierre_Diario235[[#This Row],[ N°PIN ADQUIRIDO]]&gt;0,800,0)</f>
        <v>#REF!</v>
      </c>
      <c r="W4" s="9" t="e">
        <f>SUM(N4:V4)</f>
        <v>#REF!</v>
      </c>
      <c r="X4" s="108"/>
    </row>
    <row r="5" spans="1:24" x14ac:dyDescent="0.25">
      <c r="A5" s="79"/>
      <c r="B5" s="80"/>
      <c r="C5" s="7" t="s">
        <v>13</v>
      </c>
      <c r="D5" s="2">
        <v>1007103594</v>
      </c>
      <c r="E5" s="2" t="s">
        <v>482</v>
      </c>
      <c r="F5" s="8">
        <v>3114789388</v>
      </c>
      <c r="G5" s="2" t="s">
        <v>315</v>
      </c>
      <c r="H5" s="8" t="s">
        <v>479</v>
      </c>
      <c r="I5" s="8">
        <v>2015</v>
      </c>
      <c r="J5" s="81"/>
      <c r="K5" s="9">
        <v>28000</v>
      </c>
      <c r="L5" s="1" t="s">
        <v>36</v>
      </c>
      <c r="M5" s="82">
        <v>20000</v>
      </c>
      <c r="N5" s="9">
        <f>IF(Cierre_Diario235[[#This Row],[ N°PIN ADQUIRIDO]]&gt;0,29825,)</f>
        <v>0</v>
      </c>
      <c r="O5" s="9">
        <f>Cierre_Diario235[[#This Row],[SICOV SERV HOM]]*0.19</f>
        <v>0</v>
      </c>
      <c r="P5" s="9">
        <f>IF(Cierre_Diario235[[#This Row],[ N°PIN ADQUIRIDO]]&gt;0,8693,)</f>
        <v>0</v>
      </c>
      <c r="Q5" s="9">
        <f>Cierre_Diario235[[#This Row],[RECAUDO]]*0.19</f>
        <v>0</v>
      </c>
      <c r="R5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9100</v>
      </c>
      <c r="S5" s="11">
        <f>IF(Cierre_Diario235[[#This Row],[ N°PIN ADQUIRIDO]]&gt;0,5600,0)</f>
        <v>0</v>
      </c>
      <c r="T5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1000</v>
      </c>
      <c r="U5" s="12">
        <f>IF(Cierre_Diario235[[#This Row],[FACT]]&gt;0,37185,)</f>
        <v>0</v>
      </c>
      <c r="V5" s="12">
        <f>IF(Cierre_Diario235[[#This Row],[ N°PIN ADQUIRIDO]]&gt;0,800,0)</f>
        <v>0</v>
      </c>
      <c r="W5" s="9">
        <f t="shared" si="0"/>
        <v>10100</v>
      </c>
      <c r="X5" s="8"/>
    </row>
    <row r="6" spans="1:24" x14ac:dyDescent="0.25">
      <c r="A6" s="79"/>
      <c r="B6" s="80"/>
      <c r="C6" s="7" t="s">
        <v>13</v>
      </c>
      <c r="D6" s="2">
        <v>1070613914</v>
      </c>
      <c r="E6" s="2" t="s">
        <v>481</v>
      </c>
      <c r="F6" s="8">
        <v>3016016317</v>
      </c>
      <c r="G6" s="2" t="s">
        <v>92</v>
      </c>
      <c r="H6" s="8" t="s">
        <v>480</v>
      </c>
      <c r="I6" s="8">
        <v>2015</v>
      </c>
      <c r="J6" s="81"/>
      <c r="K6" s="9">
        <v>247590</v>
      </c>
      <c r="L6" s="1" t="s">
        <v>9</v>
      </c>
      <c r="M6" s="82">
        <v>40000</v>
      </c>
      <c r="N6" s="9">
        <f>IF(Cierre_Diario235[[#This Row],[ N°PIN ADQUIRIDO]]&gt;0,29825,)</f>
        <v>0</v>
      </c>
      <c r="O6" s="9">
        <f>Cierre_Diario235[[#This Row],[SICOV SERV HOM]]*0.19</f>
        <v>0</v>
      </c>
      <c r="P6" s="9">
        <f>IF(Cierre_Diario235[[#This Row],[ N°PIN ADQUIRIDO]]&gt;0,8693,)</f>
        <v>0</v>
      </c>
      <c r="Q6" s="9">
        <f>Cierre_Diario235[[#This Row],[RECAUDO]]*0.19</f>
        <v>0</v>
      </c>
      <c r="R6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9100</v>
      </c>
      <c r="S6" s="11">
        <f>IF(Cierre_Diario235[[#This Row],[ N°PIN ADQUIRIDO]]&gt;0,5600,0)</f>
        <v>0</v>
      </c>
      <c r="T6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6" s="12">
        <f>IF(Cierre_Diario235[[#This Row],[FACT]]&gt;0,37185,)</f>
        <v>0</v>
      </c>
      <c r="V6" s="12">
        <f>IF(Cierre_Diario235[[#This Row],[ N°PIN ADQUIRIDO]]&gt;0,800,0)</f>
        <v>0</v>
      </c>
      <c r="W6" s="9">
        <f t="shared" si="0"/>
        <v>9100</v>
      </c>
      <c r="X6" s="8"/>
    </row>
    <row r="7" spans="1:24" x14ac:dyDescent="0.25">
      <c r="A7" s="79"/>
      <c r="B7" s="80"/>
      <c r="C7" s="7" t="s">
        <v>13</v>
      </c>
      <c r="D7" s="2">
        <v>47440969</v>
      </c>
      <c r="E7" s="2" t="s">
        <v>486</v>
      </c>
      <c r="F7" s="8"/>
      <c r="G7" s="2" t="s">
        <v>315</v>
      </c>
      <c r="H7" s="8" t="s">
        <v>485</v>
      </c>
      <c r="I7" s="8">
        <v>2011</v>
      </c>
      <c r="J7" s="81"/>
      <c r="K7" s="9">
        <v>247590</v>
      </c>
      <c r="L7" s="1" t="s">
        <v>9</v>
      </c>
      <c r="M7" s="82"/>
      <c r="N7" s="9">
        <f>IF(Cierre_Diario235[[#This Row],[ N°PIN ADQUIRIDO]]&gt;0,29825,)</f>
        <v>0</v>
      </c>
      <c r="O7" s="9">
        <f>Cierre_Diario235[[#This Row],[SICOV SERV HOM]]*0.19</f>
        <v>0</v>
      </c>
      <c r="P7" s="9">
        <f>IF(Cierre_Diario235[[#This Row],[ N°PIN ADQUIRIDO]]&gt;0,8693,)</f>
        <v>0</v>
      </c>
      <c r="Q7" s="9">
        <f>Cierre_Diario235[[#This Row],[RECAUDO]]*0.19</f>
        <v>0</v>
      </c>
      <c r="R7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9100</v>
      </c>
      <c r="S7" s="11">
        <f>IF(Cierre_Diario235[[#This Row],[ N°PIN ADQUIRIDO]]&gt;0,5600,0)</f>
        <v>0</v>
      </c>
      <c r="T7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7" s="12">
        <f>IF(Cierre_Diario235[[#This Row],[FACT]]&gt;0,37185,)</f>
        <v>0</v>
      </c>
      <c r="V7" s="12">
        <f>IF(Cierre_Diario235[[#This Row],[ N°PIN ADQUIRIDO]]&gt;0,800,0)</f>
        <v>0</v>
      </c>
      <c r="W7" s="9">
        <f t="shared" si="0"/>
        <v>9100</v>
      </c>
      <c r="X7" s="8"/>
    </row>
    <row r="8" spans="1:24" x14ac:dyDescent="0.25">
      <c r="A8" s="79"/>
      <c r="B8" s="80"/>
      <c r="C8" s="7"/>
      <c r="D8" s="2"/>
      <c r="E8" s="2"/>
      <c r="F8" s="8"/>
      <c r="G8" s="2"/>
      <c r="H8" s="8"/>
      <c r="I8" s="8"/>
      <c r="J8" s="81"/>
      <c r="K8" s="9"/>
      <c r="L8" s="1"/>
      <c r="M8" s="82"/>
      <c r="N8" s="9">
        <f>IF(Cierre_Diario235[[#This Row],[ N°PIN ADQUIRIDO]]&gt;0,29825,)</f>
        <v>0</v>
      </c>
      <c r="O8" s="9">
        <f>Cierre_Diario235[[#This Row],[SICOV SERV HOM]]*0.19</f>
        <v>0</v>
      </c>
      <c r="P8" s="9">
        <f>IF(Cierre_Diario235[[#This Row],[ N°PIN ADQUIRIDO]]&gt;0,8693,)</f>
        <v>0</v>
      </c>
      <c r="Q8" s="9">
        <f>Cierre_Diario235[[#This Row],[RECAUDO]]*0.19</f>
        <v>0</v>
      </c>
      <c r="R8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8" s="11">
        <f>IF(Cierre_Diario235[[#This Row],[ N°PIN ADQUIRIDO]]&gt;0,5600,0)</f>
        <v>0</v>
      </c>
      <c r="T8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8" s="12">
        <f>IF(Cierre_Diario235[[#This Row],[FACT]]&gt;0,37185,)</f>
        <v>0</v>
      </c>
      <c r="V8" s="12">
        <f>IF(Cierre_Diario235[[#This Row],[ N°PIN ADQUIRIDO]]&gt;0,800,0)</f>
        <v>0</v>
      </c>
      <c r="W8" s="9">
        <f t="shared" si="0"/>
        <v>0</v>
      </c>
      <c r="X8" s="8"/>
    </row>
    <row r="9" spans="1:24" x14ac:dyDescent="0.25">
      <c r="A9" s="79"/>
      <c r="B9" s="80"/>
      <c r="C9" s="7"/>
      <c r="D9" s="2"/>
      <c r="E9" s="2"/>
      <c r="F9" s="8"/>
      <c r="G9" s="2"/>
      <c r="H9" s="8"/>
      <c r="I9" s="8"/>
      <c r="J9" s="81"/>
      <c r="K9" s="9"/>
      <c r="L9" s="1"/>
      <c r="M9" s="82"/>
      <c r="N9" s="9">
        <f>IF(Cierre_Diario235[[#This Row],[ N°PIN ADQUIRIDO]]&gt;0,29825,)</f>
        <v>0</v>
      </c>
      <c r="O9" s="9">
        <f>Cierre_Diario235[[#This Row],[SICOV SERV HOM]]*0.19</f>
        <v>0</v>
      </c>
      <c r="P9" s="9">
        <f>IF(Cierre_Diario235[[#This Row],[ N°PIN ADQUIRIDO]]&gt;0,8693,)</f>
        <v>0</v>
      </c>
      <c r="Q9" s="9">
        <f>Cierre_Diario235[[#This Row],[RECAUDO]]*0.19</f>
        <v>0</v>
      </c>
      <c r="R9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9" s="11">
        <f>IF(Cierre_Diario235[[#This Row],[ N°PIN ADQUIRIDO]]&gt;0,5600,0)</f>
        <v>0</v>
      </c>
      <c r="T9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9" s="12">
        <f>IF(Cierre_Diario235[[#This Row],[FACT]]&gt;0,37185,)</f>
        <v>0</v>
      </c>
      <c r="V9" s="12">
        <f>IF(Cierre_Diario235[[#This Row],[ N°PIN ADQUIRIDO]]&gt;0,800,0)</f>
        <v>0</v>
      </c>
      <c r="W9" s="9">
        <f t="shared" si="0"/>
        <v>0</v>
      </c>
      <c r="X9" s="8"/>
    </row>
    <row r="10" spans="1:24" x14ac:dyDescent="0.25">
      <c r="A10" s="79"/>
      <c r="B10" s="80"/>
      <c r="C10" s="7"/>
      <c r="D10" s="2"/>
      <c r="E10" s="2"/>
      <c r="F10" s="8"/>
      <c r="G10" s="2"/>
      <c r="H10" s="8"/>
      <c r="I10" s="8"/>
      <c r="J10" s="81"/>
      <c r="K10" s="9"/>
      <c r="L10" s="1"/>
      <c r="M10" s="82"/>
      <c r="N10" s="9">
        <f>IF(Cierre_Diario235[[#This Row],[ N°PIN ADQUIRIDO]]&gt;0,29825,)</f>
        <v>0</v>
      </c>
      <c r="O10" s="9">
        <f>Cierre_Diario235[[#This Row],[SICOV SERV HOM]]*0.19</f>
        <v>0</v>
      </c>
      <c r="P10" s="9">
        <f>IF(Cierre_Diario235[[#This Row],[ N°PIN ADQUIRIDO]]&gt;0,8693,)</f>
        <v>0</v>
      </c>
      <c r="Q10" s="9">
        <f>Cierre_Diario235[[#This Row],[RECAUDO]]*0.19</f>
        <v>0</v>
      </c>
      <c r="R10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0" s="11">
        <f>IF(Cierre_Diario235[[#This Row],[ N°PIN ADQUIRIDO]]&gt;0,5600,0)</f>
        <v>0</v>
      </c>
      <c r="T10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0" s="12">
        <f>IF(Cierre_Diario235[[#This Row],[FACT]]&gt;0,37185,)</f>
        <v>0</v>
      </c>
      <c r="V10" s="12">
        <f>IF(Cierre_Diario235[[#This Row],[ N°PIN ADQUIRIDO]]&gt;0,800,0)</f>
        <v>0</v>
      </c>
      <c r="W10" s="9">
        <f t="shared" si="0"/>
        <v>0</v>
      </c>
      <c r="X10" s="8"/>
    </row>
    <row r="11" spans="1:24" x14ac:dyDescent="0.25">
      <c r="A11" s="79"/>
      <c r="B11" s="80"/>
      <c r="C11" s="7"/>
      <c r="D11" s="2"/>
      <c r="E11" s="2"/>
      <c r="F11" s="8"/>
      <c r="G11" s="2"/>
      <c r="H11" s="8"/>
      <c r="I11" s="8"/>
      <c r="J11" s="81"/>
      <c r="K11" s="9"/>
      <c r="L11" s="1"/>
      <c r="M11" s="82"/>
      <c r="N11" s="9">
        <f>IF(Cierre_Diario235[[#This Row],[ N°PIN ADQUIRIDO]]&gt;0,29825,)</f>
        <v>0</v>
      </c>
      <c r="O11" s="9">
        <f>Cierre_Diario235[[#This Row],[SICOV SERV HOM]]*0.19</f>
        <v>0</v>
      </c>
      <c r="P11" s="9">
        <f>IF(Cierre_Diario235[[#This Row],[ N°PIN ADQUIRIDO]]&gt;0,8693,)</f>
        <v>0</v>
      </c>
      <c r="Q11" s="9">
        <f>Cierre_Diario235[[#This Row],[RECAUDO]]*0.19</f>
        <v>0</v>
      </c>
      <c r="R11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1" s="11">
        <f>IF(Cierre_Diario235[[#This Row],[ N°PIN ADQUIRIDO]]&gt;0,5600,0)</f>
        <v>0</v>
      </c>
      <c r="T11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1" s="12">
        <f>IF(Cierre_Diario235[[#This Row],[FACT]]&gt;0,37185,)</f>
        <v>0</v>
      </c>
      <c r="V11" s="12">
        <f>IF(Cierre_Diario235[[#This Row],[ N°PIN ADQUIRIDO]]&gt;0,800,0)</f>
        <v>0</v>
      </c>
      <c r="W11" s="9">
        <f t="shared" si="0"/>
        <v>0</v>
      </c>
      <c r="X11" s="8"/>
    </row>
    <row r="12" spans="1:24" x14ac:dyDescent="0.25">
      <c r="A12" s="79"/>
      <c r="B12" s="80"/>
      <c r="C12" s="7"/>
      <c r="D12" s="2"/>
      <c r="E12" s="2"/>
      <c r="F12" s="8"/>
      <c r="G12" s="2"/>
      <c r="H12" s="8"/>
      <c r="I12" s="8"/>
      <c r="J12" s="81"/>
      <c r="K12" s="9"/>
      <c r="L12" s="1"/>
      <c r="M12" s="82"/>
      <c r="N12" s="9">
        <f>IF(Cierre_Diario235[[#This Row],[ N°PIN ADQUIRIDO]]&gt;0,29825,)</f>
        <v>0</v>
      </c>
      <c r="O12" s="9">
        <f>Cierre_Diario235[[#This Row],[SICOV SERV HOM]]*0.19</f>
        <v>0</v>
      </c>
      <c r="P12" s="9">
        <f>IF(Cierre_Diario235[[#This Row],[ N°PIN ADQUIRIDO]]&gt;0,8693,)</f>
        <v>0</v>
      </c>
      <c r="Q12" s="9">
        <f>Cierre_Diario235[[#This Row],[RECAUDO]]*0.19</f>
        <v>0</v>
      </c>
      <c r="R12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2" s="11">
        <f>IF(Cierre_Diario235[[#This Row],[ N°PIN ADQUIRIDO]]&gt;0,5600,0)</f>
        <v>0</v>
      </c>
      <c r="T12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2" s="12">
        <f>IF(Cierre_Diario235[[#This Row],[FACT]]&gt;0,37185,)</f>
        <v>0</v>
      </c>
      <c r="V12" s="12">
        <f>IF(Cierre_Diario235[[#This Row],[ N°PIN ADQUIRIDO]]&gt;0,800,0)</f>
        <v>0</v>
      </c>
      <c r="W12" s="9">
        <f t="shared" si="0"/>
        <v>0</v>
      </c>
      <c r="X12" s="8"/>
    </row>
    <row r="13" spans="1:24" x14ac:dyDescent="0.25">
      <c r="A13" s="79"/>
      <c r="B13" s="80"/>
      <c r="C13" s="7"/>
      <c r="D13" s="2"/>
      <c r="E13" s="2"/>
      <c r="F13" s="8"/>
      <c r="G13" s="2"/>
      <c r="H13" s="8"/>
      <c r="I13" s="8"/>
      <c r="J13" s="81"/>
      <c r="K13" s="9"/>
      <c r="L13" s="1"/>
      <c r="M13" s="82"/>
      <c r="N13" s="9">
        <f>IF(Cierre_Diario235[[#This Row],[ N°PIN ADQUIRIDO]]&gt;0,29825,)</f>
        <v>0</v>
      </c>
      <c r="O13" s="9">
        <f>Cierre_Diario235[[#This Row],[SICOV SERV HOM]]*0.19</f>
        <v>0</v>
      </c>
      <c r="P13" s="9">
        <f>IF(Cierre_Diario235[[#This Row],[ N°PIN ADQUIRIDO]]&gt;0,8693,)</f>
        <v>0</v>
      </c>
      <c r="Q13" s="9">
        <f>Cierre_Diario235[[#This Row],[RECAUDO]]*0.19</f>
        <v>0</v>
      </c>
      <c r="R13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3" s="11">
        <f>IF(Cierre_Diario235[[#This Row],[ N°PIN ADQUIRIDO]]&gt;0,5600,0)</f>
        <v>0</v>
      </c>
      <c r="T13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3" s="12">
        <f>IF(Cierre_Diario235[[#This Row],[FACT]]&gt;0,37185,)</f>
        <v>0</v>
      </c>
      <c r="V13" s="12">
        <f>IF(Cierre_Diario235[[#This Row],[ N°PIN ADQUIRIDO]]&gt;0,800,0)</f>
        <v>0</v>
      </c>
      <c r="W13" s="9">
        <f t="shared" si="0"/>
        <v>0</v>
      </c>
      <c r="X13" s="8"/>
    </row>
    <row r="14" spans="1:24" x14ac:dyDescent="0.25">
      <c r="A14" s="79"/>
      <c r="B14" s="80"/>
      <c r="C14" s="7"/>
      <c r="D14" s="2"/>
      <c r="E14" s="2"/>
      <c r="F14" s="8"/>
      <c r="G14" s="2"/>
      <c r="H14" s="8"/>
      <c r="I14" s="8"/>
      <c r="J14" s="81"/>
      <c r="K14" s="9"/>
      <c r="L14" s="1"/>
      <c r="M14" s="82"/>
      <c r="N14" s="9">
        <f>IF(Cierre_Diario235[[#This Row],[ N°PIN ADQUIRIDO]]&gt;0,29825,)</f>
        <v>0</v>
      </c>
      <c r="O14" s="9">
        <f>Cierre_Diario235[[#This Row],[SICOV SERV HOM]]*0.19</f>
        <v>0</v>
      </c>
      <c r="P14" s="9">
        <f>IF(Cierre_Diario235[[#This Row],[ N°PIN ADQUIRIDO]]&gt;0,8693,)</f>
        <v>0</v>
      </c>
      <c r="Q14" s="9">
        <f>Cierre_Diario235[[#This Row],[RECAUDO]]*0.19</f>
        <v>0</v>
      </c>
      <c r="R14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4" s="11">
        <f>IF(Cierre_Diario235[[#This Row],[ N°PIN ADQUIRIDO]]&gt;0,5600,0)</f>
        <v>0</v>
      </c>
      <c r="T14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4" s="12">
        <f>IF(Cierre_Diario235[[#This Row],[FACT]]&gt;0,37185,)</f>
        <v>0</v>
      </c>
      <c r="V14" s="12">
        <f>IF(Cierre_Diario235[[#This Row],[ N°PIN ADQUIRIDO]]&gt;0,800,0)</f>
        <v>0</v>
      </c>
      <c r="W14" s="9">
        <f t="shared" ref="W14:W22" si="1">SUM(N14:V14)</f>
        <v>0</v>
      </c>
      <c r="X14" s="8"/>
    </row>
    <row r="15" spans="1:24" x14ac:dyDescent="0.25">
      <c r="A15" s="79"/>
      <c r="B15" s="80"/>
      <c r="C15" s="7"/>
      <c r="D15" s="2"/>
      <c r="E15" s="2"/>
      <c r="F15" s="8"/>
      <c r="G15" s="2"/>
      <c r="H15" s="8"/>
      <c r="I15" s="8"/>
      <c r="J15" s="81"/>
      <c r="K15" s="9"/>
      <c r="L15" s="1"/>
      <c r="M15" s="82"/>
      <c r="N15" s="9">
        <f>IF(Cierre_Diario235[[#This Row],[ N°PIN ADQUIRIDO]]&gt;0,29825,)</f>
        <v>0</v>
      </c>
      <c r="O15" s="9">
        <f>Cierre_Diario235[[#This Row],[SICOV SERV HOM]]*0.19</f>
        <v>0</v>
      </c>
      <c r="P15" s="9">
        <f>IF(Cierre_Diario235[[#This Row],[ N°PIN ADQUIRIDO]]&gt;0,8693,)</f>
        <v>0</v>
      </c>
      <c r="Q15" s="9">
        <f>Cierre_Diario235[[#This Row],[RECAUDO]]*0.19</f>
        <v>0</v>
      </c>
      <c r="R15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5" s="11">
        <f>IF(Cierre_Diario235[[#This Row],[ N°PIN ADQUIRIDO]]&gt;0,5600,0)</f>
        <v>0</v>
      </c>
      <c r="T15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5" s="12">
        <f>IF(Cierre_Diario235[[#This Row],[FACT]]&gt;0,37185,)</f>
        <v>0</v>
      </c>
      <c r="V15" s="12">
        <f>IF(Cierre_Diario235[[#This Row],[ N°PIN ADQUIRIDO]]&gt;0,800,0)</f>
        <v>0</v>
      </c>
      <c r="W15" s="9">
        <f t="shared" si="1"/>
        <v>0</v>
      </c>
      <c r="X15" s="8"/>
    </row>
    <row r="16" spans="1:24" x14ac:dyDescent="0.25">
      <c r="A16" s="79"/>
      <c r="B16" s="80"/>
      <c r="C16" s="7"/>
      <c r="D16" s="2"/>
      <c r="E16" s="2"/>
      <c r="F16" s="8"/>
      <c r="G16" s="2"/>
      <c r="H16" s="8"/>
      <c r="I16" s="8"/>
      <c r="J16" s="81"/>
      <c r="K16" s="9"/>
      <c r="L16" s="1"/>
      <c r="M16" s="82"/>
      <c r="N16" s="9">
        <f>IF(Cierre_Diario235[[#This Row],[ N°PIN ADQUIRIDO]]&gt;0,29825,)</f>
        <v>0</v>
      </c>
      <c r="O16" s="9">
        <f>Cierre_Diario235[[#This Row],[SICOV SERV HOM]]*0.19</f>
        <v>0</v>
      </c>
      <c r="P16" s="9">
        <f>IF(Cierre_Diario235[[#This Row],[ N°PIN ADQUIRIDO]]&gt;0,8693,)</f>
        <v>0</v>
      </c>
      <c r="Q16" s="9">
        <f>Cierre_Diario235[[#This Row],[RECAUDO]]*0.19</f>
        <v>0</v>
      </c>
      <c r="R16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6" s="11">
        <f>IF(Cierre_Diario235[[#This Row],[ N°PIN ADQUIRIDO]]&gt;0,5600,0)</f>
        <v>0</v>
      </c>
      <c r="T16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6" s="12">
        <f>IF(Cierre_Diario235[[#This Row],[FACT]]&gt;0,37185,)</f>
        <v>0</v>
      </c>
      <c r="V16" s="12">
        <f>IF(Cierre_Diario235[[#This Row],[ N°PIN ADQUIRIDO]]&gt;0,800,0)</f>
        <v>0</v>
      </c>
      <c r="W16" s="9">
        <f t="shared" ref="W16:W18" si="2">SUM(N16:V16)</f>
        <v>0</v>
      </c>
      <c r="X16" s="8"/>
    </row>
    <row r="17" spans="1:24" x14ac:dyDescent="0.25">
      <c r="A17" s="79"/>
      <c r="B17" s="80"/>
      <c r="C17" s="7"/>
      <c r="D17" s="2"/>
      <c r="E17" s="2"/>
      <c r="F17" s="8"/>
      <c r="G17" s="2"/>
      <c r="H17" s="8"/>
      <c r="I17" s="8"/>
      <c r="J17" s="81"/>
      <c r="K17" s="9"/>
      <c r="L17" s="1"/>
      <c r="M17" s="82"/>
      <c r="N17" s="9">
        <f>IF(Cierre_Diario235[[#This Row],[ N°PIN ADQUIRIDO]]&gt;0,29825,)</f>
        <v>0</v>
      </c>
      <c r="O17" s="9">
        <f>Cierre_Diario235[[#This Row],[SICOV SERV HOM]]*0.19</f>
        <v>0</v>
      </c>
      <c r="P17" s="9">
        <f>IF(Cierre_Diario235[[#This Row],[ N°PIN ADQUIRIDO]]&gt;0,8693,)</f>
        <v>0</v>
      </c>
      <c r="Q17" s="9">
        <f>Cierre_Diario235[[#This Row],[RECAUDO]]*0.19</f>
        <v>0</v>
      </c>
      <c r="R17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7" s="11">
        <f>IF(Cierre_Diario235[[#This Row],[ N°PIN ADQUIRIDO]]&gt;0,5600,0)</f>
        <v>0</v>
      </c>
      <c r="T17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7" s="12">
        <f>IF(Cierre_Diario235[[#This Row],[FACT]]&gt;0,37185,)</f>
        <v>0</v>
      </c>
      <c r="V17" s="12">
        <f>IF(Cierre_Diario235[[#This Row],[ N°PIN ADQUIRIDO]]&gt;0,800,0)</f>
        <v>0</v>
      </c>
      <c r="W17" s="9">
        <f t="shared" si="2"/>
        <v>0</v>
      </c>
      <c r="X17" s="8"/>
    </row>
    <row r="18" spans="1:24" x14ac:dyDescent="0.25">
      <c r="A18" s="79"/>
      <c r="B18" s="80"/>
      <c r="C18" s="7"/>
      <c r="D18" s="2"/>
      <c r="E18" s="2"/>
      <c r="F18" s="8"/>
      <c r="G18" s="2"/>
      <c r="H18" s="8"/>
      <c r="I18" s="8"/>
      <c r="J18" s="81"/>
      <c r="K18" s="9"/>
      <c r="L18" s="1"/>
      <c r="M18" s="82"/>
      <c r="N18" s="9">
        <f>IF(Cierre_Diario235[[#This Row],[ N°PIN ADQUIRIDO]]&gt;0,29825,)</f>
        <v>0</v>
      </c>
      <c r="O18" s="9">
        <f>Cierre_Diario235[[#This Row],[SICOV SERV HOM]]*0.19</f>
        <v>0</v>
      </c>
      <c r="P18" s="9">
        <f>IF(Cierre_Diario235[[#This Row],[ N°PIN ADQUIRIDO]]&gt;0,8693,)</f>
        <v>0</v>
      </c>
      <c r="Q18" s="9">
        <f>Cierre_Diario235[[#This Row],[RECAUDO]]*0.19</f>
        <v>0</v>
      </c>
      <c r="R18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8" s="11">
        <f>IF(Cierre_Diario235[[#This Row],[ N°PIN ADQUIRIDO]]&gt;0,5600,0)</f>
        <v>0</v>
      </c>
      <c r="T18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8" s="12">
        <f>IF(Cierre_Diario235[[#This Row],[FACT]]&gt;0,37185,)</f>
        <v>0</v>
      </c>
      <c r="V18" s="12">
        <f>IF(Cierre_Diario235[[#This Row],[ N°PIN ADQUIRIDO]]&gt;0,800,0)</f>
        <v>0</v>
      </c>
      <c r="W18" s="9">
        <f t="shared" si="2"/>
        <v>0</v>
      </c>
      <c r="X18" s="8"/>
    </row>
    <row r="19" spans="1:24" x14ac:dyDescent="0.25">
      <c r="A19" s="79"/>
      <c r="B19" s="80"/>
      <c r="C19" s="7"/>
      <c r="D19" s="2"/>
      <c r="E19" s="2"/>
      <c r="F19" s="8"/>
      <c r="G19" s="2"/>
      <c r="H19" s="8"/>
      <c r="I19" s="8"/>
      <c r="J19" s="81"/>
      <c r="K19" s="9"/>
      <c r="L19" s="1"/>
      <c r="M19" s="82"/>
      <c r="N19" s="9">
        <f>IF(Cierre_Diario235[[#This Row],[ N°PIN ADQUIRIDO]]&gt;0,29825,)</f>
        <v>0</v>
      </c>
      <c r="O19" s="9">
        <f>Cierre_Diario235[[#This Row],[SICOV SERV HOM]]*0.19</f>
        <v>0</v>
      </c>
      <c r="P19" s="9">
        <f>IF(Cierre_Diario235[[#This Row],[ N°PIN ADQUIRIDO]]&gt;0,8693,)</f>
        <v>0</v>
      </c>
      <c r="Q19" s="9">
        <f>Cierre_Diario235[[#This Row],[RECAUDO]]*0.19</f>
        <v>0</v>
      </c>
      <c r="R19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19" s="11">
        <f>IF(Cierre_Diario235[[#This Row],[ N°PIN ADQUIRIDO]]&gt;0,5600,0)</f>
        <v>0</v>
      </c>
      <c r="T19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19" s="12">
        <f>IF(Cierre_Diario235[[#This Row],[FACT]]&gt;0,37185,)</f>
        <v>0</v>
      </c>
      <c r="V19" s="12">
        <f>IF(Cierre_Diario235[[#This Row],[ N°PIN ADQUIRIDO]]&gt;0,800,0)</f>
        <v>0</v>
      </c>
      <c r="W19" s="9">
        <f t="shared" ref="W19" si="3">SUM(N19:V19)</f>
        <v>0</v>
      </c>
      <c r="X19" s="8"/>
    </row>
    <row r="20" spans="1:24" x14ac:dyDescent="0.25">
      <c r="A20" s="79"/>
      <c r="B20" s="80"/>
      <c r="C20" s="7"/>
      <c r="D20" s="2"/>
      <c r="E20" s="2"/>
      <c r="F20" s="8"/>
      <c r="G20" s="2"/>
      <c r="H20" s="8"/>
      <c r="I20" s="8"/>
      <c r="J20" s="81"/>
      <c r="K20" s="9"/>
      <c r="L20" s="1"/>
      <c r="M20" s="82"/>
      <c r="N20" s="9">
        <f>IF(Cierre_Diario235[[#This Row],[ N°PIN ADQUIRIDO]]&gt;0,29825,)</f>
        <v>0</v>
      </c>
      <c r="O20" s="9">
        <f>Cierre_Diario235[[#This Row],[SICOV SERV HOM]]*0.19</f>
        <v>0</v>
      </c>
      <c r="P20" s="9">
        <f>IF(Cierre_Diario235[[#This Row],[ N°PIN ADQUIRIDO]]&gt;0,8693,)</f>
        <v>0</v>
      </c>
      <c r="Q20" s="9">
        <f>Cierre_Diario235[[#This Row],[RECAUDO]]*0.19</f>
        <v>0</v>
      </c>
      <c r="R20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20" s="11">
        <f>IF(Cierre_Diario235[[#This Row],[ N°PIN ADQUIRIDO]]&gt;0,5600,0)</f>
        <v>0</v>
      </c>
      <c r="T20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20" s="12">
        <f>IF(Cierre_Diario235[[#This Row],[FACT]]&gt;0,37185,)</f>
        <v>0</v>
      </c>
      <c r="V20" s="12">
        <f>IF(Cierre_Diario235[[#This Row],[ N°PIN ADQUIRIDO]]&gt;0,800,0)</f>
        <v>0</v>
      </c>
      <c r="W20" s="9">
        <f>SUM(N20:V20)</f>
        <v>0</v>
      </c>
      <c r="X20" s="8"/>
    </row>
    <row r="21" spans="1:24" x14ac:dyDescent="0.25">
      <c r="A21" s="79"/>
      <c r="B21" s="80"/>
      <c r="C21" s="7"/>
      <c r="D21" s="2"/>
      <c r="E21" s="2"/>
      <c r="F21" s="8"/>
      <c r="G21" s="2"/>
      <c r="H21" s="8"/>
      <c r="I21" s="8"/>
      <c r="J21" s="81"/>
      <c r="K21" s="9"/>
      <c r="L21" s="1"/>
      <c r="M21" s="82"/>
      <c r="N21" s="9">
        <f>IF(Cierre_Diario235[[#This Row],[ N°PIN ADQUIRIDO]]&gt;0,29825,)</f>
        <v>0</v>
      </c>
      <c r="O21" s="9">
        <f>Cierre_Diario235[[#This Row],[SICOV SERV HOM]]*0.19</f>
        <v>0</v>
      </c>
      <c r="P21" s="9">
        <f>IF(Cierre_Diario235[[#This Row],[ N°PIN ADQUIRIDO]]&gt;0,8693,)</f>
        <v>0</v>
      </c>
      <c r="Q21" s="9">
        <f>Cierre_Diario235[[#This Row],[RECAUDO]]*0.19</f>
        <v>0</v>
      </c>
      <c r="R21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21" s="11">
        <f>IF(Cierre_Diario235[[#This Row],[ N°PIN ADQUIRIDO]]&gt;0,5600,0)</f>
        <v>0</v>
      </c>
      <c r="T21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21" s="12">
        <f>IF(Cierre_Diario235[[#This Row],[FACT]]&gt;0,37185,)</f>
        <v>0</v>
      </c>
      <c r="V21" s="12">
        <f>IF(Cierre_Diario235[[#This Row],[ N°PIN ADQUIRIDO]]&gt;0,800,0)</f>
        <v>0</v>
      </c>
      <c r="W21" s="9">
        <f t="shared" si="1"/>
        <v>0</v>
      </c>
      <c r="X21" s="2"/>
    </row>
    <row r="22" spans="1:24" x14ac:dyDescent="0.25">
      <c r="A22" s="79"/>
      <c r="B22" s="80"/>
      <c r="C22" s="7"/>
      <c r="D22" s="2"/>
      <c r="E22" s="2"/>
      <c r="F22" s="8"/>
      <c r="G22" s="2"/>
      <c r="H22" s="8"/>
      <c r="I22" s="8"/>
      <c r="J22" s="81"/>
      <c r="K22" s="9"/>
      <c r="L22" s="1"/>
      <c r="M22" s="82"/>
      <c r="N22" s="9">
        <f>IF(Cierre_Diario235[[#This Row],[ N°PIN ADQUIRIDO]]&gt;0,29825,)</f>
        <v>0</v>
      </c>
      <c r="O22" s="9">
        <f>Cierre_Diario235[[#This Row],[SICOV SERV HOM]]*0.19</f>
        <v>0</v>
      </c>
      <c r="P22" s="9">
        <f>IF(Cierre_Diario235[[#This Row],[ N°PIN ADQUIRIDO]]&gt;0,8693,)</f>
        <v>0</v>
      </c>
      <c r="Q22" s="9">
        <f>Cierre_Diario235[[#This Row],[RECAUDO]]*0.19</f>
        <v>0</v>
      </c>
      <c r="R22" s="10">
        <f>IF(OR(ISBLANK(Cierre_Diario235[[#This Row],[MODELO]]),NOT(ISNUMBER(Cierre_Diario235[[#This Row],[MODELO]])),Cierre_Diario235[[#This Row],[MODELO]]=0),0, IF(Cierre_Diario235[[#This Row],[MODELO]]&gt;=2024,8500, IF(AND(Cierre_Diario235[[#This Row],[MODELO]]&lt;=2023,Cierre_Diario235[[#This Row],[MODELO]]&gt;=2019),8800, IF(AND(Cierre_Diario235[[#This Row],[MODELO]]&lt;=2018,Cierre_Diario235[[#This Row],[MODELO]]&gt;=2010),9100,IF(Cierre_Diario235[[#This Row],[MODELO]]&lt;=2009,8800,0)))))</f>
        <v>0</v>
      </c>
      <c r="S22" s="11">
        <f>IF(Cierre_Diario235[[#This Row],[ N°PIN ADQUIRIDO]]&gt;0,5600,0)</f>
        <v>0</v>
      </c>
      <c r="T22" s="12">
        <f>IF(Cierre_Diario235[[#This Row],[METODO DE PAGO]]="DATAFONO SG",Cierre_Diario235[[#This Row],[TOTAL]]*0.0079,IF(Cierre_Diario235[[#This Row],[METODO DE PAGO]]="QR SG",1000,IF(Cierre_Diario235[[#This Row],[METODO DE PAGO]]="CREDITO PROPIO",1000,IF(Cierre_Diario235[[#This Row],[METODO DE PAGO]]="ADDI",(Cierre_Diario235[[#This Row],[TOTAL]]*0.09)+((Cierre_Diario235[[#This Row],[TOTAL]]*0.09)*0.19),IF(Cierre_Diario235[[#This Row],[METODO DE PAGO]]="DATAFONO CM",(Cierre_Diario235[[#This Row],[TOTAL]]*0.04),0)))))</f>
        <v>0</v>
      </c>
      <c r="U22" s="12">
        <f>IF(Cierre_Diario235[[#This Row],[FACT]]&gt;0,37185,)</f>
        <v>0</v>
      </c>
      <c r="V22" s="12">
        <f>IF(Cierre_Diario235[[#This Row],[ N°PIN ADQUIRIDO]]&gt;0,800,0)</f>
        <v>0</v>
      </c>
      <c r="W22" s="9">
        <f t="shared" si="1"/>
        <v>0</v>
      </c>
      <c r="X22" s="86"/>
    </row>
    <row r="23" spans="1:24" x14ac:dyDescent="0.25">
      <c r="A23" s="73" t="s">
        <v>19</v>
      </c>
      <c r="B23" s="74">
        <f>SUBTOTAL(103,Cierre_Diario235[FACT])</f>
        <v>0</v>
      </c>
      <c r="C23" s="75"/>
      <c r="D23" s="75"/>
      <c r="E23" s="75"/>
      <c r="F23" s="74"/>
      <c r="G23" s="74">
        <f>SUBTOTAL(103,Cierre_Diario235[REFERIDOS])</f>
        <v>4</v>
      </c>
      <c r="H23" s="74">
        <f>SUBTOTAL(103,Cierre_Diario235[[PLACA ]])</f>
        <v>5</v>
      </c>
      <c r="I23" s="74">
        <f>SUBTOTAL(103,Cierre_Diario235[MODELO])</f>
        <v>4</v>
      </c>
      <c r="J23" s="73">
        <f>SUBTOTAL(103,Cierre_Diario235[[ N°PIN ADQUIRIDO]])</f>
        <v>0</v>
      </c>
      <c r="K23" s="76">
        <f>SUBTOTAL(109,Cierre_Diario235[TOTAL])</f>
        <v>990360</v>
      </c>
      <c r="L23" s="73">
        <f>SUBTOTAL(103,Cierre_Diario235[METODO DE PAGO])</f>
        <v>5</v>
      </c>
      <c r="M23" s="72">
        <f>SUBTOTAL(109,Cierre_Diario235[[DEDUCCIONES CONVENIOS ]])</f>
        <v>60000</v>
      </c>
      <c r="N23" s="76" t="e">
        <f>SUBTOTAL(109,Cierre_Diario235[SICOV SERV HOM])</f>
        <v>#REF!</v>
      </c>
      <c r="O23" s="76" t="e">
        <f>SUBTOTAL(109,Cierre_Diario235[IVA SICOV])</f>
        <v>#REF!</v>
      </c>
      <c r="P23" s="76" t="e">
        <f>SUBTOTAL(109,Cierre_Diario235[RECAUDO])</f>
        <v>#REF!</v>
      </c>
      <c r="Q23" s="76" t="e">
        <f>SUBTOTAL(109,Cierre_Diario235[IVA RECAUDO])</f>
        <v>#REF!</v>
      </c>
      <c r="R23" s="77" t="e">
        <f>SUBTOTAL(109,Cierre_Diario235[ANSV])</f>
        <v>#REF!</v>
      </c>
      <c r="S23" s="77" t="e">
        <f>SUBTOTAL(109,Cierre_Diario235[FUPA])</f>
        <v>#REF!</v>
      </c>
      <c r="T23" s="78" t="e">
        <f>SUBTOTAL(109,Cierre_Diario235[COSTE TRANSACCION])</f>
        <v>#REF!</v>
      </c>
      <c r="U23" s="78" t="e">
        <f>SUBTOTAL(109,Cierre_Diario235[IVA de FACT])</f>
        <v>#REF!</v>
      </c>
      <c r="V23" s="78" t="e">
        <f>SUBTOTAL(109,Cierre_Diario235[Sustratos])</f>
        <v>#REF!</v>
      </c>
      <c r="W23" s="76" t="e">
        <f>SUBTOTAL(109,Cierre_Diario235[COSTOS TOTAL])</f>
        <v>#REF!</v>
      </c>
      <c r="X23" s="74"/>
    </row>
    <row r="24" spans="1:24" x14ac:dyDescent="0.25">
      <c r="A24" s="88"/>
      <c r="B24" s="88"/>
      <c r="C24" s="88"/>
      <c r="D24" s="88"/>
      <c r="E24" s="88"/>
      <c r="F24" s="88"/>
      <c r="G24" s="88"/>
      <c r="H24" s="88"/>
      <c r="I24" s="88"/>
      <c r="J24" s="87"/>
      <c r="K24" s="89"/>
      <c r="L24" s="87"/>
      <c r="M24" s="90"/>
      <c r="N24" s="89"/>
      <c r="O24" s="89"/>
      <c r="P24" s="89"/>
      <c r="Q24" s="89"/>
      <c r="R24" s="91"/>
      <c r="S24" s="91"/>
      <c r="T24" s="92"/>
      <c r="U24" s="92"/>
      <c r="V24" s="92"/>
      <c r="W24" s="89"/>
      <c r="X24" s="88"/>
    </row>
    <row r="25" spans="1:24" ht="15" x14ac:dyDescent="0.2">
      <c r="B25" s="100" t="s">
        <v>46</v>
      </c>
      <c r="C25" s="101"/>
      <c r="E25" s="100" t="s">
        <v>35</v>
      </c>
      <c r="F25" s="101"/>
      <c r="I25" s="97" t="s">
        <v>47</v>
      </c>
      <c r="J25" s="98"/>
      <c r="K25" s="97" t="s">
        <v>340</v>
      </c>
      <c r="L25" s="98"/>
    </row>
    <row r="26" spans="1:24" ht="15" x14ac:dyDescent="0.2">
      <c r="B26" s="48" t="s">
        <v>35</v>
      </c>
      <c r="C26" s="15">
        <f>SUMIF(Cierre_Diario235[METODO DE PAGO],B26,Cierre_Diario235[TOTAL])</f>
        <v>0</v>
      </c>
      <c r="E26" s="16" t="s">
        <v>82</v>
      </c>
      <c r="F26" s="17" t="s">
        <v>20</v>
      </c>
      <c r="I26" s="70" t="s">
        <v>9</v>
      </c>
      <c r="J26" s="71">
        <f>C29-C53-C58-C50</f>
        <v>902360</v>
      </c>
      <c r="K26" s="70" t="s">
        <v>339</v>
      </c>
      <c r="L26" s="71">
        <f>J26-L27</f>
        <v>902360</v>
      </c>
    </row>
    <row r="27" spans="1:24" ht="15.75" thickBot="1" x14ac:dyDescent="0.3">
      <c r="B27" s="49" t="s">
        <v>36</v>
      </c>
      <c r="C27" s="19">
        <f>SUMIF(Cierre_Diario235[METODO DE PAGO],B27,Cierre_Diario235[TOTAL])</f>
        <v>28000</v>
      </c>
      <c r="E27" s="16" t="s">
        <v>17</v>
      </c>
      <c r="F27" s="15"/>
      <c r="I27" s="70" t="s">
        <v>48</v>
      </c>
      <c r="J27" s="71">
        <f>C35-F43</f>
        <v>962360</v>
      </c>
      <c r="K27" s="70" t="s">
        <v>93</v>
      </c>
      <c r="L27" s="71">
        <f>Tabla16[[#Totals],[VALOR]]</f>
        <v>0</v>
      </c>
      <c r="X27" s="6"/>
    </row>
    <row r="28" spans="1:24" ht="16.5" thickTop="1" thickBot="1" x14ac:dyDescent="0.25">
      <c r="B28" s="59" t="s">
        <v>50</v>
      </c>
      <c r="C28" s="60">
        <f>SUM(C26:C27)</f>
        <v>28000</v>
      </c>
      <c r="E28" s="16" t="s">
        <v>18</v>
      </c>
      <c r="F28" s="15"/>
      <c r="I28" s="70" t="s">
        <v>341</v>
      </c>
      <c r="J28" s="71">
        <f>J27-J26</f>
        <v>60000</v>
      </c>
      <c r="K28" s="70" t="s">
        <v>10</v>
      </c>
      <c r="L28" s="71">
        <f>SUM(L26:L27)</f>
        <v>902360</v>
      </c>
      <c r="R28" s="20"/>
      <c r="S28" s="20"/>
      <c r="T28" s="20"/>
      <c r="U28" s="20"/>
    </row>
    <row r="29" spans="1:24" ht="12.75" thickTop="1" x14ac:dyDescent="0.2">
      <c r="B29" s="50" t="s">
        <v>9</v>
      </c>
      <c r="C29" s="21">
        <f>SUMIF(Cierre_Diario235[METODO DE PAGO],B29,Cierre_Diario235[TOTAL])</f>
        <v>962360</v>
      </c>
      <c r="E29" s="16" t="s">
        <v>21</v>
      </c>
      <c r="F29" s="15"/>
      <c r="T29" s="20"/>
      <c r="U29" s="20"/>
    </row>
    <row r="30" spans="1:24" x14ac:dyDescent="0.2">
      <c r="B30" s="48" t="s">
        <v>37</v>
      </c>
      <c r="C30" s="15">
        <f>SUMIF(Cierre_Diario235[METODO DE PAGO],B30,Cierre_Diario235[TOTAL])</f>
        <v>0</v>
      </c>
      <c r="E30" s="16" t="s">
        <v>22</v>
      </c>
      <c r="F30" s="15"/>
    </row>
    <row r="31" spans="1:24" x14ac:dyDescent="0.2">
      <c r="B31" s="48" t="s">
        <v>31</v>
      </c>
      <c r="C31" s="15">
        <f>SUMIF(Cierre_Diario235[METODO DE PAGO],B31,Cierre_Diario235[TOTAL])</f>
        <v>0</v>
      </c>
      <c r="E31" s="16"/>
      <c r="F31" s="25">
        <f>SUM(F27:F30)</f>
        <v>0</v>
      </c>
      <c r="J31" s="20"/>
    </row>
    <row r="32" spans="1:24" x14ac:dyDescent="0.25">
      <c r="B32" s="48" t="s">
        <v>38</v>
      </c>
      <c r="C32" s="15">
        <f>SUMIF(Cierre_Diario235[METODO DE PAGO],B32,Cierre_Diario235[TOTAL])</f>
        <v>0</v>
      </c>
      <c r="X32" s="6"/>
    </row>
    <row r="33" spans="2:24" ht="15" x14ac:dyDescent="0.2">
      <c r="B33" s="48" t="s">
        <v>39</v>
      </c>
      <c r="C33" s="15">
        <f>SUMIF(Cierre_Diario235[METODO DE PAGO],B33,Cierre_Diario235[TOTAL])</f>
        <v>0</v>
      </c>
      <c r="E33" s="102" t="s">
        <v>16</v>
      </c>
      <c r="F33" s="103"/>
      <c r="G33" s="103"/>
    </row>
    <row r="34" spans="2:24" x14ac:dyDescent="0.25">
      <c r="B34" s="48" t="s">
        <v>97</v>
      </c>
      <c r="C34" s="15">
        <f>SUMIF(Cierre_Diario235[METODO DE PAGO],B34,Cierre_Diario235[TOTAL])</f>
        <v>0</v>
      </c>
      <c r="E34" s="26" t="s">
        <v>13</v>
      </c>
      <c r="F34" s="27" t="s">
        <v>20</v>
      </c>
      <c r="G34" s="28" t="s">
        <v>26</v>
      </c>
      <c r="X34" s="6"/>
    </row>
    <row r="35" spans="2:24" ht="12.75" thickBot="1" x14ac:dyDescent="0.25">
      <c r="B35" s="51" t="s">
        <v>51</v>
      </c>
      <c r="C35" s="29">
        <f>SUM(C29:C34)</f>
        <v>962360</v>
      </c>
      <c r="E35" s="2"/>
      <c r="F35" s="9"/>
      <c r="G35" s="53"/>
      <c r="J35" s="22"/>
      <c r="K35" s="22"/>
      <c r="L35" s="22"/>
      <c r="M35" s="22"/>
    </row>
    <row r="36" spans="2:24" ht="16.5" thickTop="1" thickBot="1" x14ac:dyDescent="0.3">
      <c r="B36" s="59" t="s">
        <v>10</v>
      </c>
      <c r="C36" s="60">
        <f>C28+C35</f>
        <v>990360</v>
      </c>
      <c r="E36" s="2"/>
      <c r="F36" s="9"/>
      <c r="G36" s="8"/>
      <c r="J36" s="23" t="s">
        <v>24</v>
      </c>
      <c r="K36" s="23"/>
      <c r="L36" s="24" t="s">
        <v>472</v>
      </c>
      <c r="M36" s="24"/>
      <c r="X36" s="6"/>
    </row>
    <row r="37" spans="2:24" ht="12.75" thickTop="1" x14ac:dyDescent="0.2">
      <c r="E37" s="2"/>
      <c r="F37" s="52"/>
      <c r="G37" s="8"/>
    </row>
    <row r="38" spans="2:24" ht="15" x14ac:dyDescent="0.2">
      <c r="B38" s="100" t="s">
        <v>83</v>
      </c>
      <c r="C38" s="101"/>
      <c r="E38" s="30"/>
      <c r="F38" s="52"/>
      <c r="G38" s="54"/>
    </row>
    <row r="39" spans="2:24" x14ac:dyDescent="0.2">
      <c r="B39" s="16" t="s">
        <v>27</v>
      </c>
      <c r="C39" s="15">
        <f>SUMIF(Cierre_Diario235[REFERIDOS],"usuario",Cierre_Diario235[[DEDUCCIONES CONVENIOS ]])</f>
        <v>20000</v>
      </c>
      <c r="E39" s="30"/>
      <c r="F39" s="52"/>
      <c r="G39" s="54"/>
    </row>
    <row r="40" spans="2:24" x14ac:dyDescent="0.2">
      <c r="B40" s="16" t="s">
        <v>29</v>
      </c>
      <c r="C40" s="18">
        <f>Cierre_Diario235[[#Totals],[DEDUCCIONES CONVENIOS ]]-C39</f>
        <v>40000</v>
      </c>
      <c r="E40" s="30"/>
      <c r="F40" s="52"/>
      <c r="G40" s="54"/>
    </row>
    <row r="41" spans="2:24" x14ac:dyDescent="0.2">
      <c r="B41" s="16" t="s">
        <v>14</v>
      </c>
      <c r="C41" s="31">
        <f>Cierre_Diario235[[#Totals],[MODELO]]</f>
        <v>4</v>
      </c>
      <c r="E41" s="30"/>
      <c r="F41" s="18"/>
      <c r="G41" s="54"/>
    </row>
    <row r="42" spans="2:24" x14ac:dyDescent="0.2">
      <c r="B42" s="16" t="s">
        <v>15</v>
      </c>
      <c r="C42" s="31">
        <f>Cierre_Diario235[[#Totals],[ N°PIN ADQUIRIDO]]</f>
        <v>0</v>
      </c>
      <c r="E42" s="32"/>
      <c r="F42" s="55"/>
      <c r="G42" s="56"/>
      <c r="I42" s="20"/>
    </row>
    <row r="43" spans="2:24" x14ac:dyDescent="0.2">
      <c r="B43" s="16" t="s">
        <v>16</v>
      </c>
      <c r="C43" s="31">
        <f>C41-C42</f>
        <v>4</v>
      </c>
      <c r="E43" s="32" t="s">
        <v>19</v>
      </c>
      <c r="F43" s="57">
        <f>SUBTOTAL(109,Tabla16[VALOR])</f>
        <v>0</v>
      </c>
      <c r="G43" s="56">
        <f>SUBTOTAL(103,Tabla16[PLACA])</f>
        <v>0</v>
      </c>
    </row>
    <row r="44" spans="2:24" x14ac:dyDescent="0.2">
      <c r="B44" s="16" t="s">
        <v>94</v>
      </c>
      <c r="C44" s="33"/>
    </row>
    <row r="45" spans="2:24" x14ac:dyDescent="0.2">
      <c r="B45" s="16" t="s">
        <v>95</v>
      </c>
      <c r="C45" s="33"/>
    </row>
    <row r="46" spans="2:24" ht="12.75" thickBot="1" x14ac:dyDescent="0.25">
      <c r="J46" s="22"/>
      <c r="K46" s="22"/>
      <c r="L46" s="22"/>
      <c r="M46" s="22"/>
    </row>
    <row r="47" spans="2:24" ht="12.75" thickTop="1" x14ac:dyDescent="0.2">
      <c r="J47" s="23" t="s">
        <v>32</v>
      </c>
      <c r="K47" s="23"/>
      <c r="L47" s="24" t="s">
        <v>33</v>
      </c>
      <c r="M47" s="24"/>
    </row>
    <row r="48" spans="2:24" x14ac:dyDescent="0.2">
      <c r="E48" s="23"/>
      <c r="I48" s="20"/>
    </row>
    <row r="49" spans="2:24" ht="15" x14ac:dyDescent="0.2">
      <c r="B49" s="99" t="s">
        <v>30</v>
      </c>
      <c r="C49" s="99"/>
      <c r="D49" s="38"/>
      <c r="E49" s="23"/>
      <c r="L49" s="58"/>
      <c r="M49" s="58"/>
      <c r="N49" s="58"/>
    </row>
    <row r="50" spans="2:24" x14ac:dyDescent="0.2">
      <c r="B50" s="16" t="s">
        <v>81</v>
      </c>
      <c r="C50" s="18">
        <f>C40</f>
        <v>40000</v>
      </c>
      <c r="D50" s="20"/>
    </row>
    <row r="51" spans="2:24" x14ac:dyDescent="0.2">
      <c r="B51" s="16" t="s">
        <v>31</v>
      </c>
      <c r="C51" s="15">
        <f>SUMIF(Cierre_Diario235[METODO DE PAGO],"ALIADOS DE INV. GORA SAS",Cierre_Diario235[TOTAL])</f>
        <v>0</v>
      </c>
      <c r="D51" s="20"/>
      <c r="G51" s="6" t="s">
        <v>455</v>
      </c>
      <c r="I51" s="34"/>
      <c r="J51" s="14"/>
    </row>
    <row r="52" spans="2:24" x14ac:dyDescent="0.2">
      <c r="B52" s="16" t="s">
        <v>97</v>
      </c>
      <c r="C52" s="15">
        <f>SUMIF(Cierre_Diario235[METODO DE PAGO],"ADDI",Cierre_Diario235[TOTAL])</f>
        <v>0</v>
      </c>
      <c r="D52" s="35"/>
      <c r="I52" s="34"/>
      <c r="J52" s="14"/>
      <c r="X52" s="6"/>
    </row>
    <row r="53" spans="2:24" ht="12.75" thickBot="1" x14ac:dyDescent="0.25">
      <c r="B53" s="16" t="s">
        <v>28</v>
      </c>
      <c r="C53" s="18">
        <f>C39</f>
        <v>20000</v>
      </c>
      <c r="D53" s="36"/>
      <c r="I53" s="34"/>
      <c r="J53" s="14"/>
    </row>
    <row r="54" spans="2:24" ht="16.5" thickTop="1" thickBot="1" x14ac:dyDescent="0.25">
      <c r="B54" s="65" t="s">
        <v>10</v>
      </c>
      <c r="C54" s="66">
        <f>SUM(C50:C53)</f>
        <v>60000</v>
      </c>
      <c r="D54" s="20"/>
      <c r="I54" s="34"/>
      <c r="J54" s="14"/>
      <c r="X54" s="6"/>
    </row>
    <row r="55" spans="2:24" ht="12.75" thickTop="1" x14ac:dyDescent="0.2">
      <c r="B55" s="16" t="s">
        <v>7</v>
      </c>
      <c r="C55" s="16" t="s">
        <v>20</v>
      </c>
      <c r="D55" s="23"/>
      <c r="I55" s="34"/>
      <c r="J55" s="14"/>
    </row>
    <row r="56" spans="2:24" x14ac:dyDescent="0.2">
      <c r="B56" s="16"/>
      <c r="C56" s="15"/>
      <c r="D56" s="23"/>
      <c r="I56" s="34"/>
      <c r="J56" s="14"/>
    </row>
    <row r="57" spans="2:24" x14ac:dyDescent="0.2">
      <c r="B57" s="13"/>
      <c r="C57" s="15"/>
      <c r="D57" s="23"/>
      <c r="I57" s="34"/>
      <c r="J57" s="14"/>
    </row>
    <row r="58" spans="2:24" ht="15.75" thickBot="1" x14ac:dyDescent="0.25">
      <c r="B58" s="64" t="s">
        <v>10</v>
      </c>
      <c r="C58" s="63">
        <f>SUM(C57:C57)</f>
        <v>0</v>
      </c>
      <c r="I58" s="34"/>
      <c r="J58" s="14"/>
    </row>
    <row r="59" spans="2:24" ht="16.5" thickTop="1" thickBot="1" x14ac:dyDescent="0.25">
      <c r="B59" s="61" t="s">
        <v>23</v>
      </c>
      <c r="C59" s="62">
        <f>C54+C58</f>
        <v>60000</v>
      </c>
      <c r="D59" s="20"/>
      <c r="E59" s="35"/>
      <c r="I59" s="34"/>
      <c r="J59" s="14"/>
    </row>
    <row r="60" spans="2:24" ht="12.75" thickTop="1" x14ac:dyDescent="0.2">
      <c r="E60" s="35"/>
      <c r="F60" s="37"/>
      <c r="I60" s="34"/>
      <c r="J60" s="14"/>
    </row>
    <row r="61" spans="2:24" x14ac:dyDescent="0.2">
      <c r="E61" s="35"/>
      <c r="F61" s="37"/>
      <c r="I61" s="34"/>
      <c r="J61" s="14"/>
    </row>
    <row r="62" spans="2:24" x14ac:dyDescent="0.2">
      <c r="E62" s="38"/>
      <c r="F62" s="37"/>
      <c r="I62" s="34"/>
      <c r="J62" s="14"/>
    </row>
    <row r="63" spans="2:24" x14ac:dyDescent="0.2">
      <c r="F63" s="37"/>
      <c r="I63" s="34"/>
      <c r="J63" s="14"/>
    </row>
    <row r="64" spans="2:24" x14ac:dyDescent="0.2">
      <c r="E64" s="38"/>
      <c r="F64" s="37"/>
      <c r="I64" s="34"/>
      <c r="J64" s="14"/>
    </row>
    <row r="65" spans="5:10" x14ac:dyDescent="0.2">
      <c r="E65" s="38"/>
      <c r="F65" s="37"/>
      <c r="I65" s="34"/>
      <c r="J65" s="14"/>
    </row>
    <row r="66" spans="5:10" x14ac:dyDescent="0.2">
      <c r="E66" s="38"/>
      <c r="F66" s="37"/>
      <c r="I66" s="34"/>
      <c r="J66" s="14"/>
    </row>
    <row r="67" spans="5:10" x14ac:dyDescent="0.2">
      <c r="E67" s="38"/>
      <c r="F67" s="37"/>
      <c r="I67" s="34"/>
      <c r="J67" s="14"/>
    </row>
    <row r="68" spans="5:10" x14ac:dyDescent="0.2">
      <c r="E68" s="38"/>
      <c r="F68" s="37"/>
      <c r="I68" s="34"/>
      <c r="J68" s="14"/>
    </row>
    <row r="69" spans="5:10" x14ac:dyDescent="0.2">
      <c r="E69" s="38"/>
      <c r="F69" s="37"/>
      <c r="I69" s="34"/>
      <c r="J69" s="14"/>
    </row>
    <row r="70" spans="5:10" x14ac:dyDescent="0.2">
      <c r="E70" s="38"/>
      <c r="F70" s="37"/>
    </row>
  </sheetData>
  <mergeCells count="7">
    <mergeCell ref="K25:L25"/>
    <mergeCell ref="B49:C49"/>
    <mergeCell ref="B25:C25"/>
    <mergeCell ref="E25:F25"/>
    <mergeCell ref="I25:J25"/>
    <mergeCell ref="E33:G33"/>
    <mergeCell ref="B38:C38"/>
  </mergeCells>
  <conditionalFormatting sqref="F31">
    <cfRule type="cellIs" dxfId="28" priority="7" operator="equal">
      <formula>$C$28</formula>
    </cfRule>
    <cfRule type="cellIs" dxfId="27" priority="8" operator="equal">
      <formula>#REF!</formula>
    </cfRule>
  </conditionalFormatting>
  <conditionalFormatting sqref="L28">
    <cfRule type="cellIs" dxfId="26" priority="4" operator="lessThan">
      <formula>$J$26</formula>
    </cfRule>
    <cfRule type="cellIs" dxfId="25" priority="5" operator="greaterThan">
      <formula>$J$26</formula>
    </cfRule>
    <cfRule type="cellIs" dxfId="24" priority="6" operator="equal">
      <formula>$J$26</formula>
    </cfRule>
  </conditionalFormatting>
  <dataValidations count="1">
    <dataValidation type="list" allowBlank="1" showInputMessage="1" showErrorMessage="1" sqref="L3:L22" xr:uid="{8B71ACAB-2F43-404D-B992-B9174DF855E5}">
      <formula1>"DATAFONO SG,QR SG,EFECTIVO,QR CM,ALIADOS DE INV. GORA SAS,DATAFONO CM,TRANSFERENCIA DIRECTA,ADDI"</formula1>
    </dataValidation>
  </dataValidations>
  <pageMargins left="0.7" right="0.7" top="0.75" bottom="0.75" header="0.3" footer="0.3"/>
  <pageSetup scale="27" orientation="landscape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4EF3FE-6499-4037-B9C0-016686CB8B2D}">
          <x14:formula1>
            <xm:f>Convenios!$B$2:$B$581</xm:f>
          </x14:formula1>
          <xm:sqref>G3:G22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4"/>
  <sheetViews>
    <sheetView topLeftCell="A66" workbookViewId="0">
      <selection activeCell="C83" sqref="C83"/>
    </sheetView>
  </sheetViews>
  <sheetFormatPr baseColWidth="10" defaultRowHeight="15" x14ac:dyDescent="0.25"/>
  <cols>
    <col min="1" max="1" width="10.42578125" style="93" bestFit="1" customWidth="1"/>
    <col min="2" max="2" width="39.7109375" style="93" bestFit="1" customWidth="1"/>
    <col min="3" max="3" width="24" style="93" bestFit="1" customWidth="1"/>
    <col min="4" max="4" width="34.42578125" style="93" bestFit="1" customWidth="1"/>
    <col min="5" max="5" width="35" style="93" bestFit="1" customWidth="1"/>
    <col min="6" max="6" width="26.5703125" style="93" bestFit="1" customWidth="1"/>
    <col min="7" max="7" width="20.140625" style="93" bestFit="1" customWidth="1"/>
    <col min="8" max="8" width="22.140625" style="93" bestFit="1" customWidth="1"/>
    <col min="9" max="9" width="32.28515625" style="93" bestFit="1" customWidth="1"/>
    <col min="10" max="10" width="37" style="93" bestFit="1" customWidth="1"/>
    <col min="11" max="11" width="44.28515625" style="93" bestFit="1" customWidth="1"/>
    <col min="12" max="12" width="30.5703125" style="93" bestFit="1" customWidth="1"/>
    <col min="13" max="13" width="81.140625" style="93" bestFit="1" customWidth="1"/>
    <col min="14" max="14" width="10.7109375" style="93" bestFit="1" customWidth="1"/>
    <col min="15" max="15" width="12.140625" style="93" bestFit="1" customWidth="1"/>
    <col min="16" max="16384" width="11.42578125" style="93"/>
  </cols>
  <sheetData>
    <row r="1" spans="1:15" x14ac:dyDescent="0.25">
      <c r="A1" s="93" t="s">
        <v>462</v>
      </c>
      <c r="B1" s="93" t="s">
        <v>289</v>
      </c>
      <c r="C1" s="93" t="s">
        <v>290</v>
      </c>
      <c r="D1" s="93" t="s">
        <v>291</v>
      </c>
      <c r="E1" s="93" t="s">
        <v>463</v>
      </c>
      <c r="F1" s="93" t="s">
        <v>292</v>
      </c>
      <c r="G1" s="93" t="s">
        <v>293</v>
      </c>
      <c r="H1" s="93" t="s">
        <v>294</v>
      </c>
      <c r="I1" s="93" t="s">
        <v>295</v>
      </c>
      <c r="J1" s="93" t="s">
        <v>296</v>
      </c>
      <c r="K1" s="93" t="s">
        <v>299</v>
      </c>
      <c r="L1" s="93" t="s">
        <v>300</v>
      </c>
      <c r="M1" s="93" t="s">
        <v>297</v>
      </c>
      <c r="N1" s="93" t="s">
        <v>298</v>
      </c>
      <c r="O1" s="93" t="s">
        <v>303</v>
      </c>
    </row>
    <row r="2" spans="1:15" x14ac:dyDescent="0.25">
      <c r="B2" s="93" t="s">
        <v>118</v>
      </c>
      <c r="K2" s="93" t="s">
        <v>119</v>
      </c>
    </row>
    <row r="3" spans="1:15" x14ac:dyDescent="0.25">
      <c r="A3" s="93">
        <v>1</v>
      </c>
      <c r="B3" s="93" t="s">
        <v>413</v>
      </c>
      <c r="C3" s="93" t="s">
        <v>414</v>
      </c>
      <c r="E3" s="93" t="s">
        <v>460</v>
      </c>
      <c r="F3" s="93">
        <v>11316627</v>
      </c>
      <c r="G3" s="93" t="s">
        <v>142</v>
      </c>
      <c r="H3" s="93" t="s">
        <v>414</v>
      </c>
      <c r="I3" s="93" t="s">
        <v>460</v>
      </c>
      <c r="J3" s="93">
        <v>11316627</v>
      </c>
    </row>
    <row r="4" spans="1:15" x14ac:dyDescent="0.25">
      <c r="B4" s="93" t="s">
        <v>120</v>
      </c>
      <c r="C4" s="93" t="s">
        <v>121</v>
      </c>
      <c r="M4" s="93" t="s">
        <v>343</v>
      </c>
    </row>
    <row r="5" spans="1:15" x14ac:dyDescent="0.25">
      <c r="B5" s="93" t="s">
        <v>104</v>
      </c>
      <c r="C5" s="93" t="s">
        <v>308</v>
      </c>
      <c r="D5" s="93">
        <v>3102533439</v>
      </c>
      <c r="E5" s="93" t="s">
        <v>460</v>
      </c>
      <c r="F5" s="93">
        <v>11321627</v>
      </c>
      <c r="G5" s="93" t="s">
        <v>142</v>
      </c>
      <c r="H5" s="93" t="s">
        <v>308</v>
      </c>
      <c r="I5" s="93" t="s">
        <v>460</v>
      </c>
      <c r="J5" s="93">
        <v>11321627</v>
      </c>
      <c r="K5" s="93" t="s">
        <v>134</v>
      </c>
      <c r="L5" s="93" t="s">
        <v>309</v>
      </c>
      <c r="M5" s="93" t="s">
        <v>344</v>
      </c>
      <c r="O5" s="93">
        <v>1</v>
      </c>
    </row>
    <row r="6" spans="1:15" x14ac:dyDescent="0.25">
      <c r="B6" s="93" t="s">
        <v>426</v>
      </c>
      <c r="C6" s="93" t="s">
        <v>427</v>
      </c>
    </row>
    <row r="7" spans="1:15" x14ac:dyDescent="0.25">
      <c r="B7" s="93" t="s">
        <v>76</v>
      </c>
      <c r="C7" s="93" t="s">
        <v>122</v>
      </c>
      <c r="M7" s="93" t="s">
        <v>345</v>
      </c>
    </row>
    <row r="8" spans="1:15" x14ac:dyDescent="0.25">
      <c r="B8" s="93" t="s">
        <v>123</v>
      </c>
      <c r="C8" s="93" t="s">
        <v>124</v>
      </c>
      <c r="M8" s="93" t="s">
        <v>346</v>
      </c>
    </row>
    <row r="9" spans="1:15" x14ac:dyDescent="0.25">
      <c r="B9" s="93" t="s">
        <v>440</v>
      </c>
      <c r="C9" s="93" t="s">
        <v>441</v>
      </c>
    </row>
    <row r="10" spans="1:15" x14ac:dyDescent="0.25">
      <c r="B10" s="93" t="s">
        <v>31</v>
      </c>
    </row>
    <row r="11" spans="1:15" x14ac:dyDescent="0.25">
      <c r="B11" s="93" t="s">
        <v>87</v>
      </c>
      <c r="C11" s="93" t="s">
        <v>125</v>
      </c>
      <c r="M11" s="93" t="s">
        <v>347</v>
      </c>
    </row>
    <row r="12" spans="1:15" x14ac:dyDescent="0.25">
      <c r="B12" s="93" t="s">
        <v>126</v>
      </c>
      <c r="C12" s="93" t="s">
        <v>127</v>
      </c>
      <c r="E12" s="93" t="s">
        <v>460</v>
      </c>
      <c r="F12" s="93">
        <v>11228166</v>
      </c>
      <c r="G12" s="93" t="s">
        <v>142</v>
      </c>
      <c r="H12" s="93" t="s">
        <v>127</v>
      </c>
      <c r="I12" s="93" t="s">
        <v>460</v>
      </c>
      <c r="J12" s="93">
        <v>11228166</v>
      </c>
      <c r="M12" s="93" t="s">
        <v>348</v>
      </c>
      <c r="O12" s="93">
        <v>1</v>
      </c>
    </row>
    <row r="13" spans="1:15" x14ac:dyDescent="0.25">
      <c r="B13" s="93" t="s">
        <v>436</v>
      </c>
      <c r="C13" s="93" t="s">
        <v>437</v>
      </c>
    </row>
    <row r="14" spans="1:15" x14ac:dyDescent="0.25">
      <c r="B14" s="93" t="s">
        <v>128</v>
      </c>
      <c r="C14" s="93" t="s">
        <v>129</v>
      </c>
      <c r="L14" s="93" t="s">
        <v>130</v>
      </c>
      <c r="M14" s="93" t="s">
        <v>349</v>
      </c>
    </row>
    <row r="15" spans="1:15" x14ac:dyDescent="0.25">
      <c r="B15" s="93" t="s">
        <v>131</v>
      </c>
      <c r="C15" s="93" t="s">
        <v>132</v>
      </c>
      <c r="D15" s="93">
        <v>3152112641</v>
      </c>
      <c r="K15" s="93" t="s">
        <v>134</v>
      </c>
      <c r="L15" s="93" t="s">
        <v>135</v>
      </c>
    </row>
    <row r="16" spans="1:15" x14ac:dyDescent="0.25">
      <c r="B16" s="93" t="s">
        <v>108</v>
      </c>
      <c r="C16" s="93" t="s">
        <v>133</v>
      </c>
      <c r="M16" s="93" t="s">
        <v>350</v>
      </c>
    </row>
    <row r="17" spans="1:15" x14ac:dyDescent="0.25">
      <c r="B17" s="93" t="s">
        <v>324</v>
      </c>
      <c r="C17" s="93" t="s">
        <v>325</v>
      </c>
      <c r="E17" s="93" t="s">
        <v>460</v>
      </c>
      <c r="F17" s="93">
        <v>1075218826</v>
      </c>
      <c r="G17" s="93" t="s">
        <v>142</v>
      </c>
      <c r="H17" s="93" t="s">
        <v>402</v>
      </c>
      <c r="I17" s="93" t="s">
        <v>460</v>
      </c>
      <c r="J17" s="93">
        <v>1075218826</v>
      </c>
      <c r="K17" s="93" t="s">
        <v>351</v>
      </c>
      <c r="L17" s="93" t="s">
        <v>352</v>
      </c>
      <c r="M17" s="93" t="s">
        <v>353</v>
      </c>
    </row>
    <row r="18" spans="1:15" x14ac:dyDescent="0.25">
      <c r="B18" s="93" t="s">
        <v>138</v>
      </c>
      <c r="C18" s="93" t="s">
        <v>139</v>
      </c>
      <c r="M18" s="93" t="s">
        <v>354</v>
      </c>
    </row>
    <row r="19" spans="1:15" x14ac:dyDescent="0.25">
      <c r="B19" s="93" t="s">
        <v>310</v>
      </c>
      <c r="C19" s="93" t="s">
        <v>311</v>
      </c>
      <c r="D19" s="93">
        <v>3123268873</v>
      </c>
      <c r="E19" s="93" t="s">
        <v>460</v>
      </c>
      <c r="F19" s="93">
        <v>39577306</v>
      </c>
      <c r="G19" s="93" t="s">
        <v>142</v>
      </c>
      <c r="H19" s="93" t="s">
        <v>311</v>
      </c>
      <c r="I19" s="93" t="s">
        <v>460</v>
      </c>
      <c r="J19" s="93">
        <v>39577306</v>
      </c>
      <c r="K19" s="93" t="s">
        <v>134</v>
      </c>
      <c r="L19" s="93" t="s">
        <v>183</v>
      </c>
      <c r="M19" s="93" t="s">
        <v>355</v>
      </c>
      <c r="O19" s="93">
        <v>1</v>
      </c>
    </row>
    <row r="20" spans="1:15" x14ac:dyDescent="0.25">
      <c r="B20" s="93" t="s">
        <v>140</v>
      </c>
      <c r="C20" s="93" t="s">
        <v>141</v>
      </c>
      <c r="E20" s="93" t="s">
        <v>356</v>
      </c>
      <c r="F20" s="93">
        <v>14251416</v>
      </c>
      <c r="G20" s="93" t="s">
        <v>142</v>
      </c>
      <c r="H20" s="93" t="s">
        <v>141</v>
      </c>
      <c r="I20" s="93" t="s">
        <v>460</v>
      </c>
      <c r="J20" s="93">
        <v>14251416</v>
      </c>
      <c r="M20" s="93" t="s">
        <v>355</v>
      </c>
      <c r="O20" s="93">
        <v>1</v>
      </c>
    </row>
    <row r="21" spans="1:15" x14ac:dyDescent="0.25">
      <c r="B21" s="93" t="s">
        <v>143</v>
      </c>
      <c r="C21" s="93" t="s">
        <v>144</v>
      </c>
      <c r="D21" s="93">
        <v>3226113545</v>
      </c>
      <c r="L21" s="93" t="s">
        <v>145</v>
      </c>
      <c r="M21" s="93" t="s">
        <v>355</v>
      </c>
    </row>
    <row r="22" spans="1:15" x14ac:dyDescent="0.25">
      <c r="B22" s="93" t="s">
        <v>111</v>
      </c>
      <c r="C22" s="93" t="s">
        <v>165</v>
      </c>
      <c r="E22" s="93" t="s">
        <v>460</v>
      </c>
      <c r="F22" s="93">
        <v>1072098566</v>
      </c>
      <c r="G22" s="93" t="s">
        <v>142</v>
      </c>
      <c r="M22" s="93" t="s">
        <v>355</v>
      </c>
    </row>
    <row r="23" spans="1:15" x14ac:dyDescent="0.25">
      <c r="A23" s="93">
        <v>1</v>
      </c>
      <c r="B23" s="93" t="s">
        <v>388</v>
      </c>
      <c r="M23" s="93" t="s">
        <v>389</v>
      </c>
    </row>
    <row r="24" spans="1:15" x14ac:dyDescent="0.25">
      <c r="B24" s="93" t="s">
        <v>100</v>
      </c>
      <c r="C24" s="93" t="s">
        <v>146</v>
      </c>
      <c r="K24" s="93" t="s">
        <v>134</v>
      </c>
      <c r="L24" s="93" t="s">
        <v>137</v>
      </c>
      <c r="M24" s="93" t="s">
        <v>355</v>
      </c>
    </row>
    <row r="25" spans="1:15" x14ac:dyDescent="0.25">
      <c r="A25" s="93">
        <v>1</v>
      </c>
      <c r="B25" s="93" t="s">
        <v>420</v>
      </c>
      <c r="C25" s="93" t="s">
        <v>421</v>
      </c>
      <c r="E25" s="93" t="s">
        <v>460</v>
      </c>
      <c r="F25" s="93">
        <v>2900367</v>
      </c>
    </row>
    <row r="26" spans="1:15" x14ac:dyDescent="0.25">
      <c r="B26" s="93" t="s">
        <v>147</v>
      </c>
      <c r="C26" s="93" t="s">
        <v>148</v>
      </c>
      <c r="L26" s="93" t="s">
        <v>149</v>
      </c>
      <c r="M26" s="93" t="s">
        <v>357</v>
      </c>
    </row>
    <row r="27" spans="1:15" x14ac:dyDescent="0.25">
      <c r="B27" s="93" t="s">
        <v>150</v>
      </c>
      <c r="C27" s="93" t="s">
        <v>151</v>
      </c>
      <c r="M27" s="93" t="s">
        <v>355</v>
      </c>
    </row>
    <row r="28" spans="1:15" x14ac:dyDescent="0.25">
      <c r="A28" s="93">
        <v>1</v>
      </c>
      <c r="B28" s="93" t="s">
        <v>358</v>
      </c>
      <c r="C28" s="93" t="s">
        <v>359</v>
      </c>
      <c r="E28" s="93" t="s">
        <v>460</v>
      </c>
      <c r="F28" s="93">
        <v>11225836</v>
      </c>
    </row>
    <row r="29" spans="1:15" x14ac:dyDescent="0.25">
      <c r="B29" s="93" t="s">
        <v>475</v>
      </c>
      <c r="C29" s="93" t="s">
        <v>476</v>
      </c>
    </row>
    <row r="30" spans="1:15" x14ac:dyDescent="0.25">
      <c r="A30" s="93">
        <v>2</v>
      </c>
      <c r="B30" s="93" t="s">
        <v>415</v>
      </c>
      <c r="C30" s="93" t="s">
        <v>416</v>
      </c>
    </row>
    <row r="31" spans="1:15" x14ac:dyDescent="0.25">
      <c r="B31" s="93" t="s">
        <v>59</v>
      </c>
      <c r="C31" s="93" t="s">
        <v>152</v>
      </c>
      <c r="M31" s="93" t="s">
        <v>360</v>
      </c>
    </row>
    <row r="32" spans="1:15" x14ac:dyDescent="0.25">
      <c r="B32" s="93" t="s">
        <v>78</v>
      </c>
      <c r="C32" s="93" t="s">
        <v>153</v>
      </c>
      <c r="K32" s="93" t="s">
        <v>154</v>
      </c>
      <c r="M32" s="93" t="s">
        <v>361</v>
      </c>
    </row>
    <row r="33" spans="1:15" x14ac:dyDescent="0.25">
      <c r="B33" s="93" t="s">
        <v>155</v>
      </c>
      <c r="C33" s="93" t="s">
        <v>156</v>
      </c>
      <c r="M33" s="93" t="s">
        <v>361</v>
      </c>
    </row>
    <row r="34" spans="1:15" x14ac:dyDescent="0.25">
      <c r="B34" s="93" t="s">
        <v>110</v>
      </c>
      <c r="C34" s="93" t="s">
        <v>157</v>
      </c>
      <c r="E34" s="93" t="s">
        <v>460</v>
      </c>
      <c r="F34" s="93">
        <v>1070600486</v>
      </c>
      <c r="G34" s="93" t="s">
        <v>142</v>
      </c>
      <c r="H34" s="93" t="s">
        <v>157</v>
      </c>
      <c r="I34" s="93" t="s">
        <v>460</v>
      </c>
      <c r="J34" s="93">
        <v>1070600486</v>
      </c>
      <c r="M34" s="93" t="s">
        <v>362</v>
      </c>
      <c r="O34" s="93">
        <v>1</v>
      </c>
    </row>
    <row r="35" spans="1:15" x14ac:dyDescent="0.25">
      <c r="B35" s="93" t="s">
        <v>67</v>
      </c>
      <c r="C35" s="93" t="s">
        <v>158</v>
      </c>
      <c r="K35" s="93" t="s">
        <v>159</v>
      </c>
      <c r="L35" s="93" t="s">
        <v>160</v>
      </c>
      <c r="M35" s="93" t="s">
        <v>361</v>
      </c>
    </row>
    <row r="36" spans="1:15" x14ac:dyDescent="0.25">
      <c r="B36" s="93" t="s">
        <v>161</v>
      </c>
      <c r="C36" s="93" t="s">
        <v>162</v>
      </c>
      <c r="M36" s="93" t="s">
        <v>363</v>
      </c>
    </row>
    <row r="37" spans="1:15" x14ac:dyDescent="0.25">
      <c r="B37" s="93" t="s">
        <v>77</v>
      </c>
      <c r="C37" s="93" t="s">
        <v>163</v>
      </c>
      <c r="K37" s="93" t="s">
        <v>164</v>
      </c>
      <c r="M37" s="93" t="s">
        <v>363</v>
      </c>
    </row>
    <row r="38" spans="1:15" x14ac:dyDescent="0.25">
      <c r="B38" s="93" t="s">
        <v>112</v>
      </c>
      <c r="C38" s="93" t="s">
        <v>165</v>
      </c>
      <c r="E38" s="93" t="s">
        <v>460</v>
      </c>
      <c r="F38" s="93">
        <v>1003634926</v>
      </c>
      <c r="G38" s="93" t="s">
        <v>142</v>
      </c>
      <c r="H38" s="93" t="s">
        <v>165</v>
      </c>
      <c r="I38" s="93" t="s">
        <v>460</v>
      </c>
      <c r="J38" s="93">
        <v>1003634926</v>
      </c>
      <c r="K38" s="93" t="s">
        <v>166</v>
      </c>
      <c r="M38" s="93" t="s">
        <v>364</v>
      </c>
      <c r="O38" s="93">
        <v>1</v>
      </c>
    </row>
    <row r="39" spans="1:15" x14ac:dyDescent="0.25">
      <c r="B39" s="93" t="s">
        <v>61</v>
      </c>
      <c r="C39" s="93" t="s">
        <v>167</v>
      </c>
      <c r="M39" s="93" t="s">
        <v>355</v>
      </c>
    </row>
    <row r="40" spans="1:15" x14ac:dyDescent="0.25">
      <c r="B40" s="93" t="s">
        <v>69</v>
      </c>
      <c r="C40" s="93" t="s">
        <v>168</v>
      </c>
      <c r="D40" s="93">
        <v>3115527549</v>
      </c>
      <c r="E40" s="93" t="s">
        <v>460</v>
      </c>
      <c r="F40" s="93">
        <v>11223278</v>
      </c>
      <c r="G40" s="93" t="s">
        <v>142</v>
      </c>
      <c r="H40" s="93" t="s">
        <v>168</v>
      </c>
      <c r="I40" s="93" t="s">
        <v>460</v>
      </c>
      <c r="J40" s="93">
        <v>11223278</v>
      </c>
      <c r="L40" s="93" t="s">
        <v>160</v>
      </c>
      <c r="M40" s="93" t="s">
        <v>355</v>
      </c>
      <c r="O40" s="93">
        <v>1</v>
      </c>
    </row>
    <row r="41" spans="1:15" x14ac:dyDescent="0.25">
      <c r="B41" s="93" t="s">
        <v>105</v>
      </c>
      <c r="C41" s="93" t="s">
        <v>169</v>
      </c>
      <c r="E41" s="93" t="s">
        <v>460</v>
      </c>
      <c r="F41" s="93">
        <v>11324311</v>
      </c>
      <c r="G41" s="93" t="s">
        <v>142</v>
      </c>
      <c r="H41" s="93" t="s">
        <v>169</v>
      </c>
      <c r="I41" s="93" t="s">
        <v>460</v>
      </c>
      <c r="J41" s="93">
        <v>11324311</v>
      </c>
      <c r="M41" s="93" t="s">
        <v>355</v>
      </c>
    </row>
    <row r="42" spans="1:15" x14ac:dyDescent="0.25">
      <c r="B42" s="93" t="s">
        <v>322</v>
      </c>
      <c r="C42" s="93" t="s">
        <v>326</v>
      </c>
      <c r="M42" s="93" t="s">
        <v>355</v>
      </c>
    </row>
    <row r="43" spans="1:15" x14ac:dyDescent="0.25">
      <c r="B43" s="93" t="s">
        <v>468</v>
      </c>
      <c r="C43" s="93" t="s">
        <v>469</v>
      </c>
      <c r="G43" s="93" t="s">
        <v>142</v>
      </c>
      <c r="H43" s="93" t="s">
        <v>470</v>
      </c>
      <c r="L43" s="93" t="s">
        <v>471</v>
      </c>
    </row>
    <row r="44" spans="1:15" x14ac:dyDescent="0.25">
      <c r="A44" s="93">
        <v>1</v>
      </c>
      <c r="B44" s="93" t="s">
        <v>327</v>
      </c>
      <c r="C44" s="93" t="s">
        <v>328</v>
      </c>
      <c r="E44" s="93" t="s">
        <v>460</v>
      </c>
      <c r="F44" s="93">
        <v>11223379</v>
      </c>
      <c r="M44" s="93" t="s">
        <v>365</v>
      </c>
    </row>
    <row r="45" spans="1:15" x14ac:dyDescent="0.25">
      <c r="B45" s="93" t="s">
        <v>170</v>
      </c>
      <c r="C45" s="93" t="s">
        <v>171</v>
      </c>
      <c r="M45" s="93" t="s">
        <v>355</v>
      </c>
    </row>
    <row r="46" spans="1:15" x14ac:dyDescent="0.25">
      <c r="B46" s="93" t="s">
        <v>57</v>
      </c>
      <c r="C46" s="93" t="s">
        <v>172</v>
      </c>
      <c r="K46" s="93" t="s">
        <v>173</v>
      </c>
      <c r="L46" s="93" t="s">
        <v>160</v>
      </c>
      <c r="M46" s="93" t="s">
        <v>361</v>
      </c>
    </row>
    <row r="47" spans="1:15" x14ac:dyDescent="0.25">
      <c r="A47" s="93">
        <v>1</v>
      </c>
      <c r="B47" s="93" t="s">
        <v>464</v>
      </c>
      <c r="C47" s="93" t="s">
        <v>465</v>
      </c>
      <c r="E47" s="93" t="s">
        <v>460</v>
      </c>
      <c r="F47" s="93">
        <v>1070590047</v>
      </c>
      <c r="G47" s="93" t="s">
        <v>142</v>
      </c>
      <c r="H47" s="93" t="s">
        <v>465</v>
      </c>
      <c r="I47" s="93" t="s">
        <v>460</v>
      </c>
      <c r="J47" s="93">
        <v>1070590047</v>
      </c>
    </row>
    <row r="48" spans="1:15" x14ac:dyDescent="0.25">
      <c r="B48" s="93" t="s">
        <v>466</v>
      </c>
      <c r="C48" s="93" t="s">
        <v>465</v>
      </c>
      <c r="G48" s="93" t="s">
        <v>142</v>
      </c>
      <c r="H48" s="93" t="s">
        <v>465</v>
      </c>
      <c r="I48" s="93" t="s">
        <v>460</v>
      </c>
      <c r="M48" s="93" t="s">
        <v>467</v>
      </c>
    </row>
    <row r="49" spans="1:15" x14ac:dyDescent="0.25">
      <c r="B49" s="93" t="s">
        <v>175</v>
      </c>
      <c r="C49" s="93" t="s">
        <v>176</v>
      </c>
      <c r="M49" s="93" t="s">
        <v>363</v>
      </c>
    </row>
    <row r="50" spans="1:15" x14ac:dyDescent="0.25">
      <c r="B50" s="93" t="s">
        <v>306</v>
      </c>
      <c r="M50" s="93" t="s">
        <v>366</v>
      </c>
    </row>
    <row r="51" spans="1:15" x14ac:dyDescent="0.25">
      <c r="B51" s="93" t="s">
        <v>177</v>
      </c>
      <c r="K51" s="93" t="s">
        <v>178</v>
      </c>
      <c r="M51" s="93" t="s">
        <v>366</v>
      </c>
    </row>
    <row r="52" spans="1:15" x14ac:dyDescent="0.25">
      <c r="B52" s="93" t="s">
        <v>446</v>
      </c>
      <c r="C52" s="93" t="s">
        <v>447</v>
      </c>
    </row>
    <row r="53" spans="1:15" x14ac:dyDescent="0.25">
      <c r="B53" s="93" t="s">
        <v>106</v>
      </c>
      <c r="C53" s="93" t="s">
        <v>174</v>
      </c>
      <c r="E53" s="93" t="s">
        <v>460</v>
      </c>
      <c r="F53" s="93">
        <v>11324901</v>
      </c>
      <c r="G53" s="93" t="s">
        <v>142</v>
      </c>
      <c r="H53" s="93" t="s">
        <v>174</v>
      </c>
      <c r="I53" s="93" t="s">
        <v>460</v>
      </c>
      <c r="J53" s="93">
        <v>11324901</v>
      </c>
      <c r="M53" s="93" t="s">
        <v>355</v>
      </c>
      <c r="O53" s="93">
        <v>1</v>
      </c>
    </row>
    <row r="54" spans="1:15" x14ac:dyDescent="0.25">
      <c r="B54" s="93" t="s">
        <v>179</v>
      </c>
      <c r="C54" s="93" t="s">
        <v>180</v>
      </c>
      <c r="M54" s="93" t="s">
        <v>367</v>
      </c>
    </row>
    <row r="55" spans="1:15" x14ac:dyDescent="0.25">
      <c r="B55" s="93" t="s">
        <v>55</v>
      </c>
      <c r="C55" s="93" t="s">
        <v>181</v>
      </c>
      <c r="M55" s="93" t="s">
        <v>368</v>
      </c>
    </row>
    <row r="56" spans="1:15" x14ac:dyDescent="0.25">
      <c r="B56" s="93" t="s">
        <v>74</v>
      </c>
      <c r="C56" s="93" t="s">
        <v>337</v>
      </c>
      <c r="E56" s="93" t="s">
        <v>460</v>
      </c>
      <c r="M56" s="93" t="s">
        <v>369</v>
      </c>
    </row>
    <row r="57" spans="1:15" x14ac:dyDescent="0.25">
      <c r="B57" s="93" t="s">
        <v>438</v>
      </c>
      <c r="C57" s="93" t="s">
        <v>439</v>
      </c>
    </row>
    <row r="58" spans="1:15" x14ac:dyDescent="0.25">
      <c r="B58" s="93" t="s">
        <v>89</v>
      </c>
      <c r="C58" s="93" t="s">
        <v>319</v>
      </c>
      <c r="E58" s="93" t="s">
        <v>460</v>
      </c>
      <c r="F58" s="93">
        <v>39563754</v>
      </c>
      <c r="G58" s="93" t="s">
        <v>142</v>
      </c>
      <c r="H58" s="93" t="s">
        <v>312</v>
      </c>
      <c r="I58" s="93" t="s">
        <v>460</v>
      </c>
      <c r="J58" s="93">
        <v>39582066</v>
      </c>
      <c r="M58" s="93" t="s">
        <v>370</v>
      </c>
      <c r="O58" s="93">
        <v>1</v>
      </c>
    </row>
    <row r="59" spans="1:15" x14ac:dyDescent="0.25">
      <c r="A59" s="93">
        <v>1</v>
      </c>
      <c r="B59" s="93" t="s">
        <v>417</v>
      </c>
      <c r="C59" s="93" t="s">
        <v>418</v>
      </c>
      <c r="E59" s="93" t="s">
        <v>460</v>
      </c>
      <c r="F59" s="93">
        <v>1070603009</v>
      </c>
      <c r="G59" s="93" t="s">
        <v>317</v>
      </c>
      <c r="H59" s="93" t="s">
        <v>419</v>
      </c>
      <c r="I59" s="93" t="s">
        <v>460</v>
      </c>
      <c r="J59" s="93">
        <v>1070603009</v>
      </c>
    </row>
    <row r="60" spans="1:15" x14ac:dyDescent="0.25">
      <c r="B60" s="93" t="s">
        <v>432</v>
      </c>
      <c r="C60" s="93" t="s">
        <v>433</v>
      </c>
    </row>
    <row r="61" spans="1:15" x14ac:dyDescent="0.25">
      <c r="B61" s="93" t="s">
        <v>323</v>
      </c>
      <c r="C61" s="93" t="s">
        <v>136</v>
      </c>
      <c r="K61" s="93" t="s">
        <v>134</v>
      </c>
      <c r="L61" s="93" t="s">
        <v>137</v>
      </c>
      <c r="M61" s="93" t="s">
        <v>355</v>
      </c>
    </row>
    <row r="62" spans="1:15" x14ac:dyDescent="0.25">
      <c r="B62" s="93" t="s">
        <v>99</v>
      </c>
      <c r="C62" s="93" t="s">
        <v>182</v>
      </c>
      <c r="K62" s="93" t="s">
        <v>134</v>
      </c>
      <c r="L62" s="93" t="s">
        <v>183</v>
      </c>
      <c r="M62" s="93" t="s">
        <v>363</v>
      </c>
    </row>
    <row r="63" spans="1:15" x14ac:dyDescent="0.25">
      <c r="B63" s="93" t="s">
        <v>184</v>
      </c>
      <c r="C63" s="93" t="s">
        <v>185</v>
      </c>
      <c r="K63" s="93" t="s">
        <v>186</v>
      </c>
      <c r="M63" s="93" t="s">
        <v>363</v>
      </c>
    </row>
    <row r="64" spans="1:15" x14ac:dyDescent="0.25">
      <c r="B64" s="93" t="s">
        <v>66</v>
      </c>
      <c r="C64" s="93" t="s">
        <v>187</v>
      </c>
      <c r="K64" s="93" t="s">
        <v>188</v>
      </c>
      <c r="M64" s="93" t="s">
        <v>363</v>
      </c>
    </row>
    <row r="65" spans="2:15" x14ac:dyDescent="0.25">
      <c r="B65" s="93" t="s">
        <v>101</v>
      </c>
      <c r="C65" s="93" t="s">
        <v>189</v>
      </c>
      <c r="D65" s="93">
        <v>3003172538</v>
      </c>
      <c r="F65" s="93">
        <v>11229627</v>
      </c>
      <c r="G65" s="93" t="s">
        <v>142</v>
      </c>
      <c r="H65" s="93" t="s">
        <v>313</v>
      </c>
      <c r="I65" s="93" t="s">
        <v>460</v>
      </c>
      <c r="J65" s="93">
        <v>11229627</v>
      </c>
      <c r="K65" s="93" t="s">
        <v>134</v>
      </c>
      <c r="L65" s="93" t="s">
        <v>183</v>
      </c>
      <c r="M65" s="93" t="s">
        <v>371</v>
      </c>
      <c r="O65" s="93">
        <v>1</v>
      </c>
    </row>
    <row r="66" spans="2:15" x14ac:dyDescent="0.25">
      <c r="B66" s="93" t="s">
        <v>190</v>
      </c>
      <c r="C66" s="93" t="s">
        <v>191</v>
      </c>
      <c r="L66" s="93" t="s">
        <v>160</v>
      </c>
      <c r="M66" s="93" t="s">
        <v>372</v>
      </c>
    </row>
    <row r="67" spans="2:15" x14ac:dyDescent="0.25">
      <c r="B67" s="93" t="s">
        <v>373</v>
      </c>
      <c r="C67" s="93" t="s">
        <v>192</v>
      </c>
      <c r="L67" s="93" t="s">
        <v>193</v>
      </c>
      <c r="M67" s="93" t="s">
        <v>371</v>
      </c>
    </row>
    <row r="68" spans="2:15" x14ac:dyDescent="0.25">
      <c r="B68" s="93" t="s">
        <v>194</v>
      </c>
      <c r="C68" s="93" t="s">
        <v>195</v>
      </c>
      <c r="M68" s="93" t="s">
        <v>374</v>
      </c>
    </row>
    <row r="69" spans="2:15" x14ac:dyDescent="0.25">
      <c r="B69" s="93" t="s">
        <v>71</v>
      </c>
      <c r="C69" s="93" t="s">
        <v>196</v>
      </c>
      <c r="K69" s="93" t="s">
        <v>197</v>
      </c>
      <c r="M69" s="93" t="s">
        <v>375</v>
      </c>
    </row>
    <row r="70" spans="2:15" x14ac:dyDescent="0.25">
      <c r="B70" s="93" t="s">
        <v>434</v>
      </c>
      <c r="C70" s="93" t="s">
        <v>435</v>
      </c>
    </row>
    <row r="71" spans="2:15" x14ac:dyDescent="0.25">
      <c r="B71" s="93" t="s">
        <v>198</v>
      </c>
      <c r="C71" s="93" t="s">
        <v>199</v>
      </c>
      <c r="K71" s="93" t="s">
        <v>376</v>
      </c>
      <c r="L71" s="93" t="s">
        <v>160</v>
      </c>
      <c r="M71" s="93" t="s">
        <v>377</v>
      </c>
    </row>
    <row r="72" spans="2:15" x14ac:dyDescent="0.25">
      <c r="B72" s="93" t="s">
        <v>68</v>
      </c>
      <c r="C72" s="93" t="s">
        <v>200</v>
      </c>
      <c r="K72" s="93" t="s">
        <v>201</v>
      </c>
      <c r="L72" s="93" t="s">
        <v>202</v>
      </c>
      <c r="M72" s="93" t="s">
        <v>378</v>
      </c>
    </row>
    <row r="73" spans="2:15" x14ac:dyDescent="0.25">
      <c r="B73" s="93" t="s">
        <v>203</v>
      </c>
      <c r="C73" s="93" t="s">
        <v>204</v>
      </c>
      <c r="K73" s="93" t="s">
        <v>379</v>
      </c>
      <c r="L73" s="93" t="s">
        <v>205</v>
      </c>
      <c r="M73" s="93" t="s">
        <v>380</v>
      </c>
    </row>
    <row r="74" spans="2:15" x14ac:dyDescent="0.25">
      <c r="B74" s="93" t="s">
        <v>206</v>
      </c>
      <c r="C74" s="93" t="s">
        <v>304</v>
      </c>
      <c r="E74" s="93" t="s">
        <v>460</v>
      </c>
      <c r="F74" s="93">
        <v>1070594665</v>
      </c>
      <c r="G74" s="93" t="s">
        <v>142</v>
      </c>
      <c r="H74" s="93" t="s">
        <v>304</v>
      </c>
      <c r="I74" s="93" t="s">
        <v>460</v>
      </c>
      <c r="J74" s="93">
        <v>1070594665</v>
      </c>
      <c r="K74" s="93" t="s">
        <v>207</v>
      </c>
      <c r="L74" s="93" t="s">
        <v>208</v>
      </c>
      <c r="M74" s="93" t="s">
        <v>381</v>
      </c>
      <c r="O74" s="93">
        <v>1</v>
      </c>
    </row>
    <row r="75" spans="2:15" x14ac:dyDescent="0.25">
      <c r="B75" s="93" t="s">
        <v>62</v>
      </c>
      <c r="C75" s="93" t="s">
        <v>209</v>
      </c>
      <c r="M75" s="93" t="s">
        <v>382</v>
      </c>
    </row>
    <row r="76" spans="2:15" x14ac:dyDescent="0.25">
      <c r="B76" s="93" t="s">
        <v>73</v>
      </c>
      <c r="C76" s="93" t="s">
        <v>210</v>
      </c>
      <c r="K76" s="93" t="s">
        <v>383</v>
      </c>
      <c r="L76" s="93" t="s">
        <v>384</v>
      </c>
      <c r="M76" s="93" t="s">
        <v>355</v>
      </c>
    </row>
    <row r="77" spans="2:15" x14ac:dyDescent="0.25">
      <c r="B77" s="93" t="s">
        <v>65</v>
      </c>
      <c r="C77" s="93" t="s">
        <v>211</v>
      </c>
      <c r="K77" s="93" t="s">
        <v>212</v>
      </c>
      <c r="L77" s="93" t="s">
        <v>213</v>
      </c>
      <c r="M77" s="93" t="s">
        <v>385</v>
      </c>
    </row>
    <row r="78" spans="2:15" x14ac:dyDescent="0.25">
      <c r="B78" s="93" t="s">
        <v>80</v>
      </c>
      <c r="C78" s="93" t="s">
        <v>214</v>
      </c>
      <c r="K78" s="93" t="s">
        <v>215</v>
      </c>
      <c r="M78" s="93" t="s">
        <v>386</v>
      </c>
    </row>
    <row r="79" spans="2:15" x14ac:dyDescent="0.25">
      <c r="B79" s="93" t="s">
        <v>424</v>
      </c>
      <c r="C79" s="93" t="s">
        <v>425</v>
      </c>
    </row>
    <row r="80" spans="2:15" x14ac:dyDescent="0.25">
      <c r="B80" s="93" t="s">
        <v>216</v>
      </c>
      <c r="C80" s="93" t="s">
        <v>217</v>
      </c>
      <c r="M80" s="93" t="s">
        <v>385</v>
      </c>
    </row>
    <row r="81" spans="1:15" x14ac:dyDescent="0.25">
      <c r="B81" s="93" t="s">
        <v>218</v>
      </c>
      <c r="C81" s="93" t="s">
        <v>219</v>
      </c>
      <c r="K81" s="93" t="s">
        <v>134</v>
      </c>
      <c r="L81" s="93" t="s">
        <v>183</v>
      </c>
      <c r="M81" s="93" t="s">
        <v>387</v>
      </c>
    </row>
    <row r="82" spans="1:15" x14ac:dyDescent="0.25">
      <c r="B82" s="93" t="s">
        <v>220</v>
      </c>
      <c r="C82" s="93" t="s">
        <v>221</v>
      </c>
      <c r="K82" s="93" t="s">
        <v>222</v>
      </c>
      <c r="M82" s="93" t="s">
        <v>390</v>
      </c>
    </row>
    <row r="83" spans="1:15" x14ac:dyDescent="0.25">
      <c r="B83" s="93" t="s">
        <v>442</v>
      </c>
      <c r="C83" s="93" t="s">
        <v>443</v>
      </c>
    </row>
    <row r="84" spans="1:15" x14ac:dyDescent="0.25">
      <c r="B84" s="93" t="s">
        <v>391</v>
      </c>
      <c r="C84" s="93" t="s">
        <v>223</v>
      </c>
      <c r="L84" s="93" t="s">
        <v>392</v>
      </c>
      <c r="M84" s="93" t="s">
        <v>393</v>
      </c>
    </row>
    <row r="85" spans="1:15" x14ac:dyDescent="0.25">
      <c r="B85" s="93" t="s">
        <v>224</v>
      </c>
      <c r="C85" s="93" t="s">
        <v>225</v>
      </c>
      <c r="E85" s="93" t="s">
        <v>460</v>
      </c>
      <c r="F85" s="93">
        <v>1000321635</v>
      </c>
      <c r="G85" s="93" t="s">
        <v>142</v>
      </c>
      <c r="H85" s="93" t="s">
        <v>225</v>
      </c>
      <c r="I85" s="93" t="s">
        <v>460</v>
      </c>
      <c r="J85" s="93">
        <v>1000321635</v>
      </c>
      <c r="K85" s="93" t="s">
        <v>279</v>
      </c>
      <c r="L85" s="93" t="s">
        <v>392</v>
      </c>
      <c r="M85" s="93" t="s">
        <v>394</v>
      </c>
      <c r="O85" s="93">
        <v>1</v>
      </c>
    </row>
    <row r="86" spans="1:15" x14ac:dyDescent="0.25">
      <c r="B86" s="93" t="s">
        <v>226</v>
      </c>
      <c r="C86" s="93" t="s">
        <v>227</v>
      </c>
      <c r="L86" s="93" t="s">
        <v>228</v>
      </c>
      <c r="M86" s="93" t="s">
        <v>395</v>
      </c>
    </row>
    <row r="87" spans="1:15" x14ac:dyDescent="0.25">
      <c r="A87" s="93">
        <v>1</v>
      </c>
      <c r="B87" s="93" t="s">
        <v>342</v>
      </c>
      <c r="C87" s="93" t="s">
        <v>316</v>
      </c>
      <c r="E87" s="93" t="s">
        <v>460</v>
      </c>
      <c r="F87" s="93">
        <v>65633292</v>
      </c>
      <c r="G87" s="93" t="s">
        <v>317</v>
      </c>
      <c r="H87" s="93" t="s">
        <v>318</v>
      </c>
      <c r="I87" s="93" t="s">
        <v>460</v>
      </c>
      <c r="J87" s="93">
        <v>65633292</v>
      </c>
    </row>
    <row r="88" spans="1:15" x14ac:dyDescent="0.25">
      <c r="A88" s="93">
        <v>2</v>
      </c>
      <c r="B88" s="93" t="s">
        <v>396</v>
      </c>
      <c r="C88" s="93" t="s">
        <v>397</v>
      </c>
      <c r="E88" s="93" t="s">
        <v>460</v>
      </c>
      <c r="F88" s="93">
        <v>1070622702</v>
      </c>
      <c r="G88" s="93" t="s">
        <v>142</v>
      </c>
      <c r="H88" s="93" t="s">
        <v>397</v>
      </c>
      <c r="I88" s="93" t="s">
        <v>460</v>
      </c>
      <c r="J88" s="93">
        <v>1070622702</v>
      </c>
      <c r="L88" s="93" t="s">
        <v>398</v>
      </c>
    </row>
    <row r="89" spans="1:15" x14ac:dyDescent="0.25">
      <c r="B89" s="93" t="s">
        <v>229</v>
      </c>
      <c r="C89" s="93" t="s">
        <v>230</v>
      </c>
      <c r="E89" s="93" t="s">
        <v>460</v>
      </c>
      <c r="F89" s="93">
        <v>1075628659</v>
      </c>
      <c r="G89" s="93" t="s">
        <v>142</v>
      </c>
      <c r="H89" s="93" t="s">
        <v>230</v>
      </c>
      <c r="I89" s="93" t="s">
        <v>460</v>
      </c>
      <c r="J89" s="93">
        <v>1075628659</v>
      </c>
      <c r="K89" s="93" t="s">
        <v>197</v>
      </c>
      <c r="L89" s="93" t="s">
        <v>231</v>
      </c>
      <c r="M89" s="93" t="s">
        <v>232</v>
      </c>
      <c r="O89" s="93">
        <v>1</v>
      </c>
    </row>
    <row r="90" spans="1:15" x14ac:dyDescent="0.25">
      <c r="B90" s="93" t="s">
        <v>301</v>
      </c>
      <c r="C90" s="93" t="s">
        <v>302</v>
      </c>
      <c r="D90" s="93">
        <v>3244293211</v>
      </c>
      <c r="E90" s="93" t="s">
        <v>460</v>
      </c>
      <c r="F90" s="93">
        <v>80356160</v>
      </c>
    </row>
    <row r="91" spans="1:15" x14ac:dyDescent="0.25">
      <c r="B91" s="93" t="s">
        <v>428</v>
      </c>
      <c r="C91" s="93" t="s">
        <v>429</v>
      </c>
    </row>
    <row r="92" spans="1:15" x14ac:dyDescent="0.25">
      <c r="A92" s="93">
        <v>1</v>
      </c>
      <c r="B92" s="93" t="s">
        <v>456</v>
      </c>
      <c r="C92" s="93" t="s">
        <v>457</v>
      </c>
      <c r="E92" s="93" t="s">
        <v>460</v>
      </c>
      <c r="F92" s="93">
        <v>11323503</v>
      </c>
      <c r="G92" s="93" t="s">
        <v>142</v>
      </c>
      <c r="H92" s="93" t="s">
        <v>457</v>
      </c>
      <c r="I92" s="93" t="s">
        <v>460</v>
      </c>
      <c r="J92" s="93">
        <v>11323503</v>
      </c>
      <c r="K92" s="93" t="s">
        <v>134</v>
      </c>
      <c r="M92" s="93" t="s">
        <v>183</v>
      </c>
    </row>
    <row r="93" spans="1:15" x14ac:dyDescent="0.25">
      <c r="A93" s="93">
        <v>2</v>
      </c>
      <c r="B93" s="93" t="s">
        <v>409</v>
      </c>
      <c r="C93" s="93" t="s">
        <v>410</v>
      </c>
      <c r="E93" s="93" t="s">
        <v>460</v>
      </c>
      <c r="F93" s="93">
        <v>1070330405</v>
      </c>
      <c r="G93" s="93" t="s">
        <v>142</v>
      </c>
      <c r="H93" s="93" t="s">
        <v>410</v>
      </c>
      <c r="I93" s="93" t="s">
        <v>460</v>
      </c>
      <c r="J93" s="93">
        <v>1070330405</v>
      </c>
      <c r="K93" s="93" t="s">
        <v>411</v>
      </c>
      <c r="L93" s="93" t="s">
        <v>392</v>
      </c>
      <c r="M93" s="93" t="s">
        <v>183</v>
      </c>
    </row>
    <row r="94" spans="1:15" x14ac:dyDescent="0.25">
      <c r="B94" s="93" t="s">
        <v>233</v>
      </c>
      <c r="C94" s="93" t="s">
        <v>234</v>
      </c>
      <c r="M94" s="93" t="s">
        <v>399</v>
      </c>
    </row>
    <row r="95" spans="1:15" x14ac:dyDescent="0.25">
      <c r="B95" s="93" t="s">
        <v>90</v>
      </c>
    </row>
    <row r="96" spans="1:15" x14ac:dyDescent="0.25">
      <c r="B96" s="93" t="s">
        <v>235</v>
      </c>
      <c r="C96" s="93" t="s">
        <v>236</v>
      </c>
      <c r="K96" s="93" t="s">
        <v>237</v>
      </c>
      <c r="L96" s="93" t="s">
        <v>238</v>
      </c>
      <c r="M96" s="93" t="s">
        <v>400</v>
      </c>
    </row>
    <row r="97" spans="1:15" x14ac:dyDescent="0.25">
      <c r="A97" s="93">
        <v>2</v>
      </c>
      <c r="B97" s="93" t="s">
        <v>473</v>
      </c>
      <c r="C97" s="93" t="s">
        <v>474</v>
      </c>
      <c r="E97" s="93" t="s">
        <v>460</v>
      </c>
      <c r="F97" s="93">
        <v>113163316</v>
      </c>
    </row>
    <row r="98" spans="1:15" x14ac:dyDescent="0.25">
      <c r="B98" s="93" t="s">
        <v>63</v>
      </c>
      <c r="C98" s="93" t="s">
        <v>239</v>
      </c>
    </row>
    <row r="99" spans="1:15" x14ac:dyDescent="0.25">
      <c r="A99" s="93">
        <v>1</v>
      </c>
      <c r="B99" s="93" t="s">
        <v>407</v>
      </c>
      <c r="C99" s="93" t="s">
        <v>338</v>
      </c>
      <c r="F99" s="93">
        <v>1070588958</v>
      </c>
      <c r="G99" s="93" t="s">
        <v>142</v>
      </c>
      <c r="H99" s="93" t="s">
        <v>408</v>
      </c>
      <c r="I99" s="93" t="s">
        <v>460</v>
      </c>
      <c r="J99" s="93">
        <v>1070588958</v>
      </c>
      <c r="M99" s="93" t="s">
        <v>394</v>
      </c>
    </row>
    <row r="100" spans="1:15" x14ac:dyDescent="0.25">
      <c r="B100" s="93" t="s">
        <v>307</v>
      </c>
      <c r="C100" s="93" t="s">
        <v>314</v>
      </c>
      <c r="E100" s="93" t="s">
        <v>460</v>
      </c>
      <c r="F100" s="93">
        <v>1070624174</v>
      </c>
      <c r="G100" s="93" t="s">
        <v>142</v>
      </c>
      <c r="H100" s="93" t="s">
        <v>314</v>
      </c>
    </row>
    <row r="101" spans="1:15" x14ac:dyDescent="0.25">
      <c r="B101" s="93" t="s">
        <v>102</v>
      </c>
      <c r="C101" s="93" t="s">
        <v>240</v>
      </c>
      <c r="E101" s="93" t="s">
        <v>460</v>
      </c>
      <c r="F101" s="93">
        <v>1070616554</v>
      </c>
      <c r="G101" s="93" t="s">
        <v>142</v>
      </c>
      <c r="H101" s="93" t="s">
        <v>240</v>
      </c>
      <c r="I101" s="93" t="s">
        <v>460</v>
      </c>
      <c r="J101" s="93">
        <v>1070616554</v>
      </c>
      <c r="K101" s="93" t="s">
        <v>320</v>
      </c>
      <c r="L101" s="93" t="s">
        <v>321</v>
      </c>
      <c r="M101" s="93" t="s">
        <v>355</v>
      </c>
    </row>
    <row r="102" spans="1:15" x14ac:dyDescent="0.25">
      <c r="B102" s="93" t="s">
        <v>107</v>
      </c>
      <c r="C102" s="93" t="s">
        <v>241</v>
      </c>
      <c r="K102" s="93" t="s">
        <v>134</v>
      </c>
      <c r="L102" s="93" t="s">
        <v>135</v>
      </c>
      <c r="M102" s="93" t="s">
        <v>401</v>
      </c>
    </row>
    <row r="103" spans="1:15" x14ac:dyDescent="0.25">
      <c r="B103" s="93" t="s">
        <v>54</v>
      </c>
      <c r="C103" s="93" t="s">
        <v>242</v>
      </c>
      <c r="K103" s="93" t="s">
        <v>215</v>
      </c>
      <c r="L103" s="93" t="s">
        <v>243</v>
      </c>
    </row>
    <row r="104" spans="1:15" x14ac:dyDescent="0.25">
      <c r="B104" s="93" t="s">
        <v>244</v>
      </c>
      <c r="C104" s="93" t="s">
        <v>245</v>
      </c>
      <c r="K104" s="93" t="s">
        <v>246</v>
      </c>
      <c r="L104" s="93" t="s">
        <v>137</v>
      </c>
    </row>
    <row r="105" spans="1:15" x14ac:dyDescent="0.25">
      <c r="B105" s="93" t="s">
        <v>247</v>
      </c>
      <c r="C105" s="93" t="s">
        <v>248</v>
      </c>
      <c r="L105" s="93" t="s">
        <v>64</v>
      </c>
    </row>
    <row r="106" spans="1:15" x14ac:dyDescent="0.25">
      <c r="B106" s="93" t="s">
        <v>92</v>
      </c>
    </row>
    <row r="107" spans="1:15" x14ac:dyDescent="0.25">
      <c r="B107" s="93" t="s">
        <v>249</v>
      </c>
      <c r="C107" s="93" t="s">
        <v>250</v>
      </c>
    </row>
    <row r="108" spans="1:15" x14ac:dyDescent="0.25">
      <c r="B108" s="93" t="s">
        <v>430</v>
      </c>
      <c r="C108" s="93" t="s">
        <v>431</v>
      </c>
    </row>
    <row r="109" spans="1:15" x14ac:dyDescent="0.25">
      <c r="B109" s="93" t="s">
        <v>75</v>
      </c>
    </row>
    <row r="110" spans="1:15" x14ac:dyDescent="0.25">
      <c r="B110" s="93" t="s">
        <v>461</v>
      </c>
    </row>
    <row r="111" spans="1:15" x14ac:dyDescent="0.25">
      <c r="A111" s="93">
        <v>1</v>
      </c>
      <c r="B111" s="93" t="s">
        <v>336</v>
      </c>
      <c r="C111" s="93" t="s">
        <v>253</v>
      </c>
      <c r="E111" s="93" t="s">
        <v>460</v>
      </c>
      <c r="F111" s="93">
        <v>39572381</v>
      </c>
      <c r="G111" s="93" t="s">
        <v>142</v>
      </c>
      <c r="H111" s="93" t="s">
        <v>253</v>
      </c>
      <c r="I111" s="93" t="s">
        <v>460</v>
      </c>
      <c r="J111" s="93">
        <v>39572381</v>
      </c>
      <c r="K111" s="93" t="s">
        <v>134</v>
      </c>
      <c r="L111" s="93" t="s">
        <v>183</v>
      </c>
      <c r="O111" s="93">
        <v>1</v>
      </c>
    </row>
    <row r="112" spans="1:15" x14ac:dyDescent="0.25">
      <c r="B112" s="93" t="s">
        <v>251</v>
      </c>
      <c r="C112" s="93" t="s">
        <v>252</v>
      </c>
      <c r="E112" s="93" t="s">
        <v>460</v>
      </c>
      <c r="F112" s="93">
        <v>39572601</v>
      </c>
      <c r="G112" s="93" t="s">
        <v>142</v>
      </c>
      <c r="H112" s="93" t="s">
        <v>252</v>
      </c>
      <c r="I112" s="93" t="s">
        <v>460</v>
      </c>
      <c r="J112" s="93">
        <v>39572601</v>
      </c>
      <c r="K112" s="93" t="s">
        <v>134</v>
      </c>
      <c r="L112" s="93" t="s">
        <v>183</v>
      </c>
      <c r="O112" s="93">
        <v>1</v>
      </c>
    </row>
    <row r="113" spans="1:15" x14ac:dyDescent="0.25">
      <c r="B113" s="93" t="s">
        <v>448</v>
      </c>
      <c r="C113" s="93" t="s">
        <v>449</v>
      </c>
    </row>
    <row r="114" spans="1:15" x14ac:dyDescent="0.25">
      <c r="B114" s="93" t="s">
        <v>98</v>
      </c>
      <c r="C114" s="93" t="s">
        <v>253</v>
      </c>
      <c r="E114" s="93" t="s">
        <v>460</v>
      </c>
      <c r="F114" s="93">
        <v>7540624</v>
      </c>
      <c r="G114" s="93" t="s">
        <v>142</v>
      </c>
      <c r="H114" s="93" t="s">
        <v>253</v>
      </c>
      <c r="I114" s="93" t="s">
        <v>460</v>
      </c>
      <c r="J114" s="93">
        <v>39572381</v>
      </c>
      <c r="K114" s="93" t="s">
        <v>134</v>
      </c>
      <c r="L114" s="93" t="s">
        <v>183</v>
      </c>
      <c r="O114" s="93">
        <v>1</v>
      </c>
    </row>
    <row r="115" spans="1:15" x14ac:dyDescent="0.25">
      <c r="B115" s="93" t="s">
        <v>254</v>
      </c>
      <c r="C115" s="93" t="s">
        <v>255</v>
      </c>
      <c r="K115" s="93" t="s">
        <v>256</v>
      </c>
      <c r="L115" s="93" t="s">
        <v>257</v>
      </c>
    </row>
    <row r="116" spans="1:15" x14ac:dyDescent="0.25">
      <c r="B116" s="93" t="s">
        <v>53</v>
      </c>
      <c r="C116" s="93" t="s">
        <v>258</v>
      </c>
      <c r="K116" s="93" t="s">
        <v>259</v>
      </c>
    </row>
    <row r="117" spans="1:15" x14ac:dyDescent="0.25">
      <c r="B117" s="93" t="s">
        <v>52</v>
      </c>
      <c r="C117" s="93" t="s">
        <v>260</v>
      </c>
      <c r="D117" s="93">
        <v>3105782150</v>
      </c>
      <c r="M117" s="93" t="s">
        <v>261</v>
      </c>
    </row>
    <row r="118" spans="1:15" x14ac:dyDescent="0.25">
      <c r="B118" s="93" t="s">
        <v>91</v>
      </c>
      <c r="C118" s="93" t="s">
        <v>305</v>
      </c>
      <c r="E118" s="93" t="s">
        <v>460</v>
      </c>
      <c r="F118" s="93">
        <v>52516572</v>
      </c>
      <c r="G118" s="93" t="s">
        <v>142</v>
      </c>
    </row>
    <row r="119" spans="1:15" x14ac:dyDescent="0.25">
      <c r="A119" s="93">
        <v>1</v>
      </c>
      <c r="B119" s="93" t="s">
        <v>403</v>
      </c>
      <c r="C119" s="93" t="s">
        <v>404</v>
      </c>
    </row>
    <row r="120" spans="1:15" x14ac:dyDescent="0.25">
      <c r="B120" s="93" t="s">
        <v>451</v>
      </c>
      <c r="C120" s="93" t="s">
        <v>452</v>
      </c>
      <c r="E120" s="93" t="s">
        <v>460</v>
      </c>
      <c r="F120" s="93">
        <v>5992799</v>
      </c>
    </row>
    <row r="121" spans="1:15" x14ac:dyDescent="0.25">
      <c r="B121" s="93" t="s">
        <v>109</v>
      </c>
      <c r="C121" s="93" t="s">
        <v>262</v>
      </c>
      <c r="K121" s="93" t="s">
        <v>134</v>
      </c>
      <c r="L121" s="93" t="s">
        <v>183</v>
      </c>
    </row>
    <row r="122" spans="1:15" x14ac:dyDescent="0.25">
      <c r="B122" s="93" t="s">
        <v>263</v>
      </c>
      <c r="C122" s="93" t="s">
        <v>458</v>
      </c>
    </row>
    <row r="123" spans="1:15" x14ac:dyDescent="0.25">
      <c r="B123" s="93" t="s">
        <v>333</v>
      </c>
      <c r="C123" s="93" t="s">
        <v>334</v>
      </c>
      <c r="M123" s="93" t="s">
        <v>335</v>
      </c>
    </row>
    <row r="124" spans="1:15" x14ac:dyDescent="0.25">
      <c r="B124" s="93" t="s">
        <v>60</v>
      </c>
      <c r="C124" s="93" t="s">
        <v>265</v>
      </c>
      <c r="L124" s="93" t="s">
        <v>266</v>
      </c>
    </row>
    <row r="125" spans="1:15" x14ac:dyDescent="0.25">
      <c r="A125" s="93">
        <v>1</v>
      </c>
      <c r="B125" s="93" t="s">
        <v>405</v>
      </c>
      <c r="C125" s="93" t="s">
        <v>406</v>
      </c>
      <c r="E125" s="93" t="s">
        <v>460</v>
      </c>
      <c r="F125" s="93">
        <v>21018795</v>
      </c>
      <c r="G125" s="93" t="s">
        <v>142</v>
      </c>
      <c r="H125" s="93" t="s">
        <v>406</v>
      </c>
      <c r="I125" s="93" t="s">
        <v>460</v>
      </c>
      <c r="J125" s="93">
        <v>21018795</v>
      </c>
    </row>
    <row r="126" spans="1:15" x14ac:dyDescent="0.25">
      <c r="B126" s="93" t="s">
        <v>267</v>
      </c>
      <c r="C126" s="93" t="s">
        <v>268</v>
      </c>
    </row>
    <row r="127" spans="1:15" x14ac:dyDescent="0.25">
      <c r="B127" s="93" t="s">
        <v>444</v>
      </c>
      <c r="C127" s="93" t="s">
        <v>445</v>
      </c>
    </row>
    <row r="128" spans="1:15" x14ac:dyDescent="0.25">
      <c r="B128" s="93" t="s">
        <v>422</v>
      </c>
      <c r="C128" s="93" t="s">
        <v>423</v>
      </c>
    </row>
    <row r="129" spans="1:15" x14ac:dyDescent="0.25">
      <c r="B129" s="93" t="s">
        <v>103</v>
      </c>
      <c r="C129" s="93" t="s">
        <v>287</v>
      </c>
      <c r="E129" s="93" t="s">
        <v>460</v>
      </c>
      <c r="F129" s="93">
        <v>1070619363</v>
      </c>
      <c r="G129" s="93" t="s">
        <v>142</v>
      </c>
      <c r="H129" s="93" t="s">
        <v>287</v>
      </c>
      <c r="I129" s="93" t="s">
        <v>460</v>
      </c>
      <c r="J129" s="93">
        <v>1070619363</v>
      </c>
      <c r="L129" s="93" t="s">
        <v>288</v>
      </c>
      <c r="O129" s="93">
        <v>1</v>
      </c>
    </row>
    <row r="130" spans="1:15" x14ac:dyDescent="0.25">
      <c r="B130" s="93" t="s">
        <v>269</v>
      </c>
      <c r="C130" s="93" t="s">
        <v>270</v>
      </c>
    </row>
    <row r="131" spans="1:15" x14ac:dyDescent="0.25">
      <c r="B131" s="93" t="s">
        <v>86</v>
      </c>
      <c r="C131" s="93" t="s">
        <v>271</v>
      </c>
      <c r="G131" s="93" t="s">
        <v>142</v>
      </c>
      <c r="H131" s="93" t="s">
        <v>412</v>
      </c>
      <c r="I131" s="93" t="s">
        <v>460</v>
      </c>
      <c r="J131" s="93">
        <v>39569005</v>
      </c>
    </row>
    <row r="132" spans="1:15" x14ac:dyDescent="0.25">
      <c r="B132" s="93" t="s">
        <v>459</v>
      </c>
      <c r="C132" s="93" t="s">
        <v>450</v>
      </c>
    </row>
    <row r="133" spans="1:15" x14ac:dyDescent="0.25">
      <c r="B133" s="93" t="s">
        <v>272</v>
      </c>
      <c r="C133" s="93" t="s">
        <v>273</v>
      </c>
      <c r="E133" s="93" t="s">
        <v>460</v>
      </c>
      <c r="F133" s="93">
        <v>21017471</v>
      </c>
      <c r="G133" s="93" t="s">
        <v>142</v>
      </c>
      <c r="H133" s="93" t="s">
        <v>273</v>
      </c>
      <c r="I133" s="93" t="s">
        <v>460</v>
      </c>
      <c r="J133" s="93">
        <v>21017471</v>
      </c>
      <c r="K133" s="93" t="s">
        <v>274</v>
      </c>
      <c r="L133" s="93" t="s">
        <v>183</v>
      </c>
      <c r="O133" s="93">
        <v>1</v>
      </c>
    </row>
    <row r="134" spans="1:15" x14ac:dyDescent="0.25">
      <c r="A134" s="93">
        <v>1</v>
      </c>
      <c r="B134" s="93" t="s">
        <v>315</v>
      </c>
    </row>
    <row r="135" spans="1:15" x14ac:dyDescent="0.25">
      <c r="B135" s="93" t="s">
        <v>72</v>
      </c>
      <c r="C135" s="93" t="s">
        <v>275</v>
      </c>
    </row>
    <row r="136" spans="1:15" x14ac:dyDescent="0.25">
      <c r="B136" s="93" t="s">
        <v>276</v>
      </c>
      <c r="C136" s="93" t="s">
        <v>329</v>
      </c>
      <c r="D136" s="93">
        <v>3203688394</v>
      </c>
      <c r="K136" s="93" t="s">
        <v>134</v>
      </c>
      <c r="L136" s="93" t="s">
        <v>137</v>
      </c>
    </row>
    <row r="137" spans="1:15" x14ac:dyDescent="0.25">
      <c r="B137" s="93" t="s">
        <v>70</v>
      </c>
      <c r="C137" s="93" t="s">
        <v>277</v>
      </c>
      <c r="K137" s="93" t="s">
        <v>215</v>
      </c>
      <c r="L137" s="93" t="s">
        <v>160</v>
      </c>
    </row>
    <row r="138" spans="1:15" x14ac:dyDescent="0.25">
      <c r="B138" s="93" t="s">
        <v>278</v>
      </c>
      <c r="C138" s="93" t="s">
        <v>264</v>
      </c>
    </row>
    <row r="139" spans="1:15" x14ac:dyDescent="0.25">
      <c r="B139" s="93" t="s">
        <v>79</v>
      </c>
      <c r="K139" s="93" t="s">
        <v>279</v>
      </c>
      <c r="L139" s="93" t="s">
        <v>160</v>
      </c>
    </row>
    <row r="140" spans="1:15" x14ac:dyDescent="0.25">
      <c r="B140" s="93" t="s">
        <v>330</v>
      </c>
      <c r="C140" s="93" t="s">
        <v>331</v>
      </c>
      <c r="E140" s="93" t="s">
        <v>460</v>
      </c>
      <c r="F140" s="93">
        <v>1070608633</v>
      </c>
      <c r="G140" s="93" t="s">
        <v>142</v>
      </c>
      <c r="H140" s="93" t="s">
        <v>331</v>
      </c>
      <c r="I140" s="93" t="s">
        <v>460</v>
      </c>
      <c r="J140" s="93">
        <v>1070608633</v>
      </c>
      <c r="K140" s="93" t="s">
        <v>134</v>
      </c>
      <c r="L140" s="93" t="s">
        <v>183</v>
      </c>
    </row>
    <row r="141" spans="1:15" x14ac:dyDescent="0.25">
      <c r="B141" s="93" t="s">
        <v>88</v>
      </c>
      <c r="C141" s="93" t="s">
        <v>280</v>
      </c>
      <c r="E141" s="93" t="s">
        <v>460</v>
      </c>
      <c r="F141" s="93">
        <v>1007355690</v>
      </c>
      <c r="G141" s="93" t="s">
        <v>142</v>
      </c>
      <c r="H141" s="93" t="s">
        <v>280</v>
      </c>
      <c r="I141" s="93" t="s">
        <v>460</v>
      </c>
      <c r="J141" s="93">
        <v>1007355690</v>
      </c>
      <c r="L141" s="93" t="s">
        <v>231</v>
      </c>
      <c r="O141" s="93">
        <v>1</v>
      </c>
    </row>
    <row r="142" spans="1:15" x14ac:dyDescent="0.25">
      <c r="B142" s="93" t="s">
        <v>56</v>
      </c>
      <c r="C142" s="93" t="s">
        <v>281</v>
      </c>
      <c r="L142" s="93" t="s">
        <v>282</v>
      </c>
      <c r="M142" s="93" t="s">
        <v>283</v>
      </c>
    </row>
    <row r="143" spans="1:15" x14ac:dyDescent="0.25">
      <c r="B143" s="93" t="s">
        <v>58</v>
      </c>
      <c r="C143" s="93" t="s">
        <v>284</v>
      </c>
      <c r="L143" s="93" t="s">
        <v>160</v>
      </c>
    </row>
    <row r="144" spans="1:15" x14ac:dyDescent="0.25">
      <c r="B144" s="93" t="s">
        <v>285</v>
      </c>
      <c r="C144" s="93" t="s">
        <v>286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C2FBD05-C944-4125-B3A8-BB5A892821BA}">
  <ds:schemaRefs/>
</ds:datastoreItem>
</file>

<file path=customXml/itemProps2.xml><?xml version="1.0" encoding="utf-8"?>
<ds:datastoreItem xmlns:ds="http://schemas.openxmlformats.org/officeDocument/2006/customXml" ds:itemID="{23869CF7-414C-4F3A-AE2F-C5E3E7E86B4D}">
  <ds:schemaRefs/>
</ds:datastoreItem>
</file>

<file path=customXml/itemProps3.xml><?xml version="1.0" encoding="utf-8"?>
<ds:datastoreItem xmlns:ds="http://schemas.openxmlformats.org/officeDocument/2006/customXml" ds:itemID="{45088F90-796C-45FC-9CF6-FBC1B4259F79}">
  <ds:schemaRefs/>
</ds:datastoreItem>
</file>

<file path=customXml/itemProps4.xml><?xml version="1.0" encoding="utf-8"?>
<ds:datastoreItem xmlns:ds="http://schemas.openxmlformats.org/officeDocument/2006/customXml" ds:itemID="{3A0FD824-7A63-40B1-BB2D-18DB80DDB194}">
  <ds:schemaRefs/>
</ds:datastoreItem>
</file>

<file path=customXml/itemProps5.xml><?xml version="1.0" encoding="utf-8"?>
<ds:datastoreItem xmlns:ds="http://schemas.openxmlformats.org/officeDocument/2006/customXml" ds:itemID="{FFCD89B6-DF8B-4121-8D78-BB3E5597E887}">
  <ds:schemaRefs/>
</ds:datastoreItem>
</file>

<file path=customXml/itemProps6.xml><?xml version="1.0" encoding="utf-8"?>
<ds:datastoreItem xmlns:ds="http://schemas.openxmlformats.org/officeDocument/2006/customXml" ds:itemID="{3D8D6437-B87C-40E4-B1DA-338BDD79AEF2}">
  <ds:schemaRefs/>
</ds:datastoreItem>
</file>

<file path=customXml/itemProps7.xml><?xml version="1.0" encoding="utf-8"?>
<ds:datastoreItem xmlns:ds="http://schemas.openxmlformats.org/officeDocument/2006/customXml" ds:itemID="{F16A913F-8057-4F64-9ACB-D76802AC126F}">
  <ds:schemaRefs/>
</ds:datastoreItem>
</file>

<file path=customXml/itemProps8.xml><?xml version="1.0" encoding="utf-8"?>
<ds:datastoreItem xmlns:ds="http://schemas.openxmlformats.org/officeDocument/2006/customXml" ds:itemID="{82F5B2FF-347E-4927-AE47-E1012A85B07A}">
  <ds:schemaRefs/>
</ds:datastoreItem>
</file>

<file path=customXml/itemProps9.xml><?xml version="1.0" encoding="utf-8"?>
<ds:datastoreItem xmlns:ds="http://schemas.openxmlformats.org/officeDocument/2006/customXml" ds:itemID="{B5B6B05D-24C5-4505-825E-C0D55BB7C88C}">
  <ds:schemaRefs/>
</ds:datastoreItem>
</file>

<file path=customXml/itemProps10.xml><?xml version="1.0" encoding="utf-8"?>
<ds:datastoreItem xmlns:ds="http://schemas.openxmlformats.org/officeDocument/2006/customXml" ds:itemID="{9001309D-E65D-4D54-8D69-1F5089397121}">
  <ds:schemaRefs/>
</ds:datastoreItem>
</file>

<file path=customXml/itemProps11.xml><?xml version="1.0" encoding="utf-8"?>
<ds:datastoreItem xmlns:ds="http://schemas.openxmlformats.org/officeDocument/2006/customXml" ds:itemID="{A062E0AB-17C6-4C9C-9DBA-C1B3502BDA65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FD5D2C6-30B2-499C-94A0-DAC77264CB4E}">
  <ds:schemaRefs/>
</ds:datastoreItem>
</file>

<file path=customXml/itemProps13.xml><?xml version="1.0" encoding="utf-8"?>
<ds:datastoreItem xmlns:ds="http://schemas.openxmlformats.org/officeDocument/2006/customXml" ds:itemID="{1244DCF6-3B3E-4B28-A233-78DAEFE09192}">
  <ds:schemaRefs/>
</ds:datastoreItem>
</file>

<file path=customXml/itemProps14.xml><?xml version="1.0" encoding="utf-8"?>
<ds:datastoreItem xmlns:ds="http://schemas.openxmlformats.org/officeDocument/2006/customXml" ds:itemID="{9779A280-D417-4C65-B670-09E7F5EC1131}">
  <ds:schemaRefs/>
</ds:datastoreItem>
</file>

<file path=customXml/itemProps15.xml><?xml version="1.0" encoding="utf-8"?>
<ds:datastoreItem xmlns:ds="http://schemas.openxmlformats.org/officeDocument/2006/customXml" ds:itemID="{0F2ADD9F-4A85-41E8-97AD-5D9EAFC7A0E3}">
  <ds:schemaRefs/>
</ds:datastoreItem>
</file>

<file path=customXml/itemProps16.xml><?xml version="1.0" encoding="utf-8"?>
<ds:datastoreItem xmlns:ds="http://schemas.openxmlformats.org/officeDocument/2006/customXml" ds:itemID="{4355DB6C-73EA-46C7-AC9F-61FDFD5DC1B7}">
  <ds:schemaRefs/>
</ds:datastoreItem>
</file>

<file path=customXml/itemProps17.xml><?xml version="1.0" encoding="utf-8"?>
<ds:datastoreItem xmlns:ds="http://schemas.openxmlformats.org/officeDocument/2006/customXml" ds:itemID="{33E0044D-556D-4C92-9D38-B5E6ACD2A0CD}">
  <ds:schemaRefs/>
</ds:datastoreItem>
</file>

<file path=customXml/itemProps18.xml><?xml version="1.0" encoding="utf-8"?>
<ds:datastoreItem xmlns:ds="http://schemas.openxmlformats.org/officeDocument/2006/customXml" ds:itemID="{70DC82A3-8745-400D-A253-F36CF7EF23C6}">
  <ds:schemaRefs/>
</ds:datastoreItem>
</file>

<file path=customXml/itemProps19.xml><?xml version="1.0" encoding="utf-8"?>
<ds:datastoreItem xmlns:ds="http://schemas.openxmlformats.org/officeDocument/2006/customXml" ds:itemID="{A711F350-7120-4B05-9BC4-9599AF294A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Pagos Convenios</vt:lpstr>
      <vt:lpstr>Planilla Cierre Diario Formulad</vt:lpstr>
      <vt:lpstr>Convenios</vt:lpstr>
      <vt:lpstr>'Planilla Cierre Diario Formulad'!Área_de_impresión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Cardeñoza</dc:creator>
  <cp:lastModifiedBy>USUARIO</cp:lastModifiedBy>
  <cp:lastPrinted>2026-05-11T23:59:13Z</cp:lastPrinted>
  <dcterms:created xsi:type="dcterms:W3CDTF">2025-10-12T16:56:12Z</dcterms:created>
  <dcterms:modified xsi:type="dcterms:W3CDTF">2026-06-03T15:43:03Z</dcterms:modified>
</cp:coreProperties>
</file>